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aporan Ayam\"/>
    </mc:Choice>
  </mc:AlternateContent>
  <xr:revisionPtr revIDLastSave="0" documentId="13_ncr:1_{7B7870ED-1D20-4DD6-ACAE-00405F4C07D2}" xr6:coauthVersionLast="47" xr6:coauthVersionMax="47" xr10:uidLastSave="{00000000-0000-0000-0000-000000000000}"/>
  <bookViews>
    <workbookView xWindow="-120" yWindow="-120" windowWidth="29040" windowHeight="15990" tabRatio="605" xr2:uid="{00000000-000D-0000-FFFF-FFFF00000000}"/>
  </bookViews>
  <sheets>
    <sheet name="MEI 25" sheetId="5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4" l="1"/>
  <c r="E16" i="54"/>
  <c r="F47" i="54"/>
  <c r="F11" i="54"/>
  <c r="F9" i="54"/>
  <c r="I11" i="54"/>
  <c r="E14" i="54" l="1"/>
  <c r="H35" i="54" l="1"/>
  <c r="H36" i="54"/>
  <c r="H37" i="54"/>
  <c r="H38" i="54"/>
  <c r="H39" i="54"/>
  <c r="H40" i="54"/>
  <c r="H41" i="54"/>
  <c r="H42" i="54"/>
  <c r="H43" i="54"/>
  <c r="H34" i="54"/>
  <c r="I22" i="54"/>
  <c r="I23" i="54"/>
  <c r="I24" i="54"/>
  <c r="I25" i="54"/>
  <c r="H21" i="54"/>
  <c r="I21" i="54" s="1"/>
  <c r="I26" i="54" l="1"/>
  <c r="H26" i="54"/>
  <c r="D45" i="54" l="1"/>
  <c r="F4" i="54"/>
  <c r="F5" i="54" s="1"/>
  <c r="F6" i="54" l="1"/>
  <c r="F7" i="54" l="1"/>
  <c r="F8" i="54" l="1"/>
  <c r="F12" i="54" s="1"/>
  <c r="F13" i="54" s="1"/>
  <c r="F14" i="54" s="1"/>
  <c r="F15" i="54" s="1"/>
  <c r="H11" i="54" l="1"/>
  <c r="F16" i="54" l="1"/>
  <c r="F17" i="54" s="1"/>
  <c r="E45" i="54" l="1"/>
  <c r="F45" i="54" s="1"/>
  <c r="F19" i="54"/>
  <c r="F20" i="54" s="1"/>
  <c r="F21" i="54" s="1"/>
  <c r="F22" i="54" s="1"/>
  <c r="F23" i="54" s="1"/>
  <c r="F24" i="54" s="1"/>
  <c r="F25" i="54" s="1"/>
  <c r="F27" i="54" s="1"/>
  <c r="F28" i="54" s="1"/>
  <c r="F29" i="54" s="1"/>
  <c r="F30" i="54" s="1"/>
  <c r="F31" i="54" s="1"/>
  <c r="F33" i="54" s="1"/>
  <c r="F34" i="54" s="1"/>
  <c r="F35" i="54" s="1"/>
  <c r="F36" i="54" s="1"/>
  <c r="F37" i="54" s="1"/>
  <c r="F38" i="54" s="1"/>
  <c r="F39" i="54" s="1"/>
  <c r="F40" i="54" s="1"/>
  <c r="F41" i="54" s="1"/>
  <c r="F42" i="54" s="1"/>
  <c r="F43" i="54" s="1"/>
  <c r="F48" i="54" l="1"/>
</calcChain>
</file>

<file path=xl/sharedStrings.xml><?xml version="1.0" encoding="utf-8"?>
<sst xmlns="http://schemas.openxmlformats.org/spreadsheetml/2006/main" count="60" uniqueCount="52">
  <si>
    <t>TGL</t>
  </si>
  <si>
    <t>KETERANGAN</t>
  </si>
  <si>
    <t>MASUK</t>
  </si>
  <si>
    <t>KELUAR</t>
  </si>
  <si>
    <t>SALDO</t>
  </si>
  <si>
    <t>SALDO AWAL</t>
  </si>
  <si>
    <t>AGUSTUS</t>
  </si>
  <si>
    <t>#</t>
  </si>
  <si>
    <t>Dana Titipan Pembangunan Kandang PERTAMA ke OEMAH TERNAK &amp; PUTRA D&amp;R</t>
  </si>
  <si>
    <t>4.100 ekor X Rp. 6.000 X 15 Minggu = Rp.369.000.000</t>
  </si>
  <si>
    <t># Biaya pengurusan AJB Tanah</t>
  </si>
  <si>
    <t># Biaya Ijin Usaha dan Lingkungan</t>
  </si>
  <si>
    <t># Biaya Pengeboran Air Sumur</t>
  </si>
  <si>
    <t># Biaya Pemasangan KWH Listrik</t>
  </si>
  <si>
    <t># Biaya Pembuatan Kandang</t>
  </si>
  <si>
    <t>Dana Titipan AJB ke OEMAH TERNAK &amp; PUTRA D&amp;R</t>
  </si>
  <si>
    <t>SEPTEMBER</t>
  </si>
  <si>
    <t>Pembelian Ayam Pullet KEDUA 4.100 ekor Rp. 369.000.000 (369.000.000-150.000.000) KURANG 219.000.000</t>
  </si>
  <si>
    <t>AYAM PULLET :</t>
  </si>
  <si>
    <t>Pembelian Baterai Kandang PERTAMA &amp; KEDUA : 2 X Rp. 88.565.000 = Rp. 177.130.000</t>
  </si>
  <si>
    <t>SALDO KANDANG KEVIN</t>
  </si>
  <si>
    <t>KONTROL</t>
  </si>
  <si>
    <t>BATERAI KANDANG PERTAMA &amp; KEDUA</t>
  </si>
  <si>
    <t>OBAT &amp; VAKSIN AYAM PERTAMA &amp; KEDUA :</t>
  </si>
  <si>
    <t>Biaya pengiriman : 2 x Rp. 2.000.000 = Rp. 4.000.000</t>
  </si>
  <si>
    <t>Niple mangkok : 2 x 2.100 buah x Rp. 4.800 = Rp. 20.160.000</t>
  </si>
  <si>
    <t>Paralon minum sudah dilubangi : 2 x 155 batang x Rp. 32.000 = Rp. 9.920.000</t>
  </si>
  <si>
    <t>Paralon pakan : 2 x 155 batang x Rp. 55.000 = Rp. 17.050.000</t>
  </si>
  <si>
    <t>Baterai : 2 x 504 set x Rp. 125.000 = Rp. 126.000.000</t>
  </si>
  <si>
    <t>ASLI</t>
  </si>
  <si>
    <t>Tylo - Q (pernafasan) 2 x 4 kg @Rp. 487.500 = Rp. 3.900.000</t>
  </si>
  <si>
    <t>Aximox - N (pencernaan) 2 x 3 kg @Rp. 422.500 = Rp. 2.535.000</t>
  </si>
  <si>
    <t>Nutrilac (Vitamin) 2 x 4 kg @Rp. 240.500 = Rp. 1.924.000</t>
  </si>
  <si>
    <t>AI H5N1 2 x 9 botol @Rp. 682.500 = Rp. 12.285.000</t>
  </si>
  <si>
    <t>NDIB EDS 2 x 5 botol @Rp. 1.267.500 = Rp. 12.675.000</t>
  </si>
  <si>
    <t>ND IB 2 x 40 vial @Rp. 84.500 = Rp. 6.760.000</t>
  </si>
  <si>
    <t>ND Lasota 2 x 50 vial  @Rp. 58.500 = Rp. 5.850.000</t>
  </si>
  <si>
    <t>Disinfectan 2 x 2 botol @Rp. 162.500 = Rp. 650.000</t>
  </si>
  <si>
    <t>Ganasupervit (anti stress) 2 x 4 kg @Rp. 162.500 = Rp. 1.300.000</t>
  </si>
  <si>
    <t>LABA (RUGI) KEVIN FARM 2025</t>
  </si>
  <si>
    <t>Pembelian Obat, Vaksin dan Vitamin Ayam : 2 x Rp. 23.939.500 = Rp. 47.879.000</t>
  </si>
  <si>
    <t>OKTOBER</t>
  </si>
  <si>
    <t>Pembuatan Kandang, Mess &amp; Gudang, AJB, Ijin Lingkungan dan Pengeboran Air Sumur</t>
  </si>
  <si>
    <t># Biaya Pembuatan Mess &amp; Gudang</t>
  </si>
  <si>
    <t>REKAPITULASI PEMBANGUNAN &amp; INVESTASI KAMPOENG ENDOK</t>
  </si>
  <si>
    <t>Rekapitulasi Pembangunan dan Investasi Kampoeng Endok</t>
  </si>
  <si>
    <t>Pembelian Ayam Pullet PERTAMA 4.100 ekor Rp. 369.000.000</t>
  </si>
  <si>
    <t>NOVEMBER</t>
  </si>
  <si>
    <t>Pembuatan mess dan gudang</t>
  </si>
  <si>
    <t>Pembangunan kandang</t>
  </si>
  <si>
    <t>Dana Pembangunan KAMPOENG ENDOK</t>
  </si>
  <si>
    <t>DP Biaya Pembangunan Mess dan Gudang KAMPOENG ENDOK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</si>
</sst>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_(* #,##0_);_(* \(#,##0\);_(* &quot;-&quot;_);_(@_)"/>
  </numFmts>
  <fonts count="11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C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5" fontId="6" fillId="0" borderId="0" applyFont="0" applyFill="0" applyBorder="0" applyAlignment="0" applyProtection="0"/>
  </cellStyleXfs>
  <cellXfs count="47">
    <xf numFmtId="0" fontId="0" fillId="0" borderId="0" xfId="0"/>
    <xf numFmtId="164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justify"/>
    </xf>
    <xf numFmtId="165" fontId="0" fillId="0" borderId="0" xfId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left" vertical="justify"/>
    </xf>
    <xf numFmtId="165" fontId="4" fillId="0" borderId="1" xfId="1" applyFont="1" applyBorder="1"/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justify" vertical="top"/>
    </xf>
    <xf numFmtId="165" fontId="0" fillId="0" borderId="1" xfId="1" applyFont="1" applyBorder="1"/>
    <xf numFmtId="165" fontId="0" fillId="0" borderId="1" xfId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65" fontId="4" fillId="0" borderId="1" xfId="1" applyFont="1" applyBorder="1" applyAlignment="1">
      <alignment vertical="top"/>
    </xf>
    <xf numFmtId="165" fontId="5" fillId="3" borderId="1" xfId="1" applyFont="1" applyFill="1" applyBorder="1" applyAlignment="1">
      <alignment vertical="top"/>
    </xf>
    <xf numFmtId="0" fontId="4" fillId="0" borderId="1" xfId="0" applyFont="1" applyBorder="1" applyAlignment="1">
      <alignment horizontal="justify" vertical="top"/>
    </xf>
    <xf numFmtId="165" fontId="0" fillId="0" borderId="0" xfId="0" applyNumberFormat="1"/>
    <xf numFmtId="164" fontId="2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justify"/>
    </xf>
    <xf numFmtId="0" fontId="7" fillId="0" borderId="0" xfId="0" applyFont="1" applyAlignment="1">
      <alignment horizontal="justify" vertical="justify"/>
    </xf>
    <xf numFmtId="164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justify" vertical="top"/>
    </xf>
    <xf numFmtId="164" fontId="7" fillId="0" borderId="1" xfId="0" applyNumberFormat="1" applyFont="1" applyBorder="1"/>
    <xf numFmtId="0" fontId="7" fillId="0" borderId="1" xfId="0" applyFont="1" applyBorder="1" applyAlignment="1">
      <alignment horizontal="justify" vertical="top"/>
    </xf>
    <xf numFmtId="165" fontId="9" fillId="0" borderId="0" xfId="1" applyFont="1"/>
    <xf numFmtId="165" fontId="9" fillId="0" borderId="1" xfId="1" applyFont="1" applyBorder="1" applyAlignment="1">
      <alignment vertical="top"/>
    </xf>
    <xf numFmtId="164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vertical="center"/>
    </xf>
    <xf numFmtId="165" fontId="7" fillId="0" borderId="0" xfId="1" applyFont="1"/>
    <xf numFmtId="165" fontId="0" fillId="0" borderId="1" xfId="0" applyNumberFormat="1" applyBorder="1"/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/>
    <xf numFmtId="165" fontId="9" fillId="0" borderId="1" xfId="1" applyFont="1" applyBorder="1"/>
    <xf numFmtId="0" fontId="9" fillId="0" borderId="1" xfId="0" applyFont="1" applyBorder="1" applyAlignment="1">
      <alignment horizontal="right" vertical="top"/>
    </xf>
    <xf numFmtId="0" fontId="7" fillId="0" borderId="1" xfId="0" applyFont="1" applyBorder="1"/>
    <xf numFmtId="165" fontId="7" fillId="0" borderId="1" xfId="1" applyFont="1" applyBorder="1" applyAlignment="1"/>
    <xf numFmtId="165" fontId="7" fillId="0" borderId="1" xfId="1" applyFont="1" applyBorder="1" applyAlignment="1">
      <alignment vertical="center"/>
    </xf>
    <xf numFmtId="0" fontId="7" fillId="0" borderId="1" xfId="1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ocuments\Laporan%20Ayam\Pembangunan\Kandang%20KEVIN.xlsx" TargetMode="External"/><Relationship Id="rId1" Type="http://schemas.openxmlformats.org/officeDocument/2006/relationships/externalLinkPath" Target="Pembangunan/Kandang%20KEV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T-1"/>
      <sheetName val="SEP-1"/>
      <sheetName val="OKT-1"/>
      <sheetName val="NOV-1"/>
    </sheetNames>
    <sheetDataSet>
      <sheetData sheetId="0"/>
      <sheetData sheetId="1"/>
      <sheetData sheetId="2">
        <row r="41">
          <cell r="E41">
            <v>379818500</v>
          </cell>
        </row>
      </sheetData>
      <sheetData sheetId="3">
        <row r="10">
          <cell r="E10">
            <v>484244500</v>
          </cell>
          <cell r="F10">
            <v>11755500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C9" sqref="C9"/>
    </sheetView>
  </sheetViews>
  <sheetFormatPr defaultColWidth="11" defaultRowHeight="15.75"/>
  <cols>
    <col min="1" max="1" width="12.5" style="3" customWidth="1"/>
    <col min="2" max="2" width="3.875" customWidth="1"/>
    <col min="3" max="3" width="86.125" style="4" bestFit="1" customWidth="1"/>
    <col min="4" max="6" width="18.875" style="5" customWidth="1"/>
    <col min="7" max="7" width="16.125" customWidth="1"/>
    <col min="8" max="8" width="24.625" bestFit="1" customWidth="1"/>
    <col min="9" max="9" width="30.625" bestFit="1" customWidth="1"/>
    <col min="10" max="10" width="14.125" customWidth="1"/>
  </cols>
  <sheetData>
    <row r="1" spans="1:9" ht="31.5">
      <c r="A1" s="46" t="s">
        <v>44</v>
      </c>
      <c r="B1" s="46"/>
      <c r="C1" s="46"/>
      <c r="D1" s="46"/>
      <c r="E1" s="46"/>
      <c r="F1" s="46"/>
    </row>
    <row r="2" spans="1:9" s="2" customFormat="1" ht="26.1" customHeight="1">
      <c r="A2" s="45" t="s">
        <v>0</v>
      </c>
      <c r="B2" s="45"/>
      <c r="C2" s="6" t="s">
        <v>1</v>
      </c>
      <c r="D2" s="7" t="s">
        <v>2</v>
      </c>
      <c r="E2" s="7" t="s">
        <v>3</v>
      </c>
      <c r="F2" s="7" t="s">
        <v>4</v>
      </c>
    </row>
    <row r="3" spans="1:9">
      <c r="A3" s="8">
        <v>2025</v>
      </c>
      <c r="B3" s="9"/>
      <c r="C3" s="10" t="s">
        <v>5</v>
      </c>
      <c r="D3" s="15"/>
      <c r="E3" s="15"/>
      <c r="F3" s="11">
        <v>0</v>
      </c>
    </row>
    <row r="4" spans="1:9">
      <c r="A4" s="26" t="s">
        <v>6</v>
      </c>
      <c r="B4" s="9">
        <v>5</v>
      </c>
      <c r="C4" s="23" t="s">
        <v>15</v>
      </c>
      <c r="D4" s="15">
        <v>40000000</v>
      </c>
      <c r="E4" s="15"/>
      <c r="F4" s="18">
        <f t="shared" ref="F4:F43" si="0">F3+D4-E4</f>
        <v>40000000</v>
      </c>
      <c r="H4" s="5"/>
    </row>
    <row r="5" spans="1:9">
      <c r="A5" s="12"/>
      <c r="B5" s="9">
        <v>10</v>
      </c>
      <c r="C5" s="23" t="s">
        <v>8</v>
      </c>
      <c r="D5" s="15">
        <v>200000000</v>
      </c>
      <c r="E5" s="15"/>
      <c r="F5" s="18">
        <f t="shared" si="0"/>
        <v>240000000</v>
      </c>
      <c r="H5" s="5"/>
    </row>
    <row r="6" spans="1:9">
      <c r="A6" s="26" t="s">
        <v>16</v>
      </c>
      <c r="B6" s="9">
        <v>11</v>
      </c>
      <c r="C6" s="23" t="s">
        <v>50</v>
      </c>
      <c r="D6" s="15">
        <v>100000000</v>
      </c>
      <c r="E6" s="15"/>
      <c r="F6" s="18">
        <f t="shared" si="0"/>
        <v>340000000</v>
      </c>
      <c r="H6" s="5"/>
    </row>
    <row r="7" spans="1:9">
      <c r="A7" s="26" t="s">
        <v>41</v>
      </c>
      <c r="B7" s="41">
        <v>7</v>
      </c>
      <c r="C7" s="23" t="s">
        <v>51</v>
      </c>
      <c r="D7" s="42">
        <v>100000000</v>
      </c>
      <c r="E7" s="15"/>
      <c r="F7" s="18">
        <f>F6+D7-E7</f>
        <v>440000000</v>
      </c>
      <c r="H7" s="5"/>
    </row>
    <row r="8" spans="1:9">
      <c r="A8" s="26"/>
      <c r="B8" s="41">
        <v>25</v>
      </c>
      <c r="C8" s="23" t="s">
        <v>51</v>
      </c>
      <c r="D8" s="42">
        <v>50000000</v>
      </c>
      <c r="E8" s="15"/>
      <c r="F8" s="18">
        <f>F7+D8-E8</f>
        <v>490000000</v>
      </c>
      <c r="H8" s="5"/>
    </row>
    <row r="9" spans="1:9">
      <c r="A9" s="26" t="s">
        <v>47</v>
      </c>
      <c r="B9" s="41">
        <v>1</v>
      </c>
      <c r="C9" s="23" t="s">
        <v>51</v>
      </c>
      <c r="D9" s="42">
        <v>6000000</v>
      </c>
      <c r="E9" s="15"/>
      <c r="F9" s="18">
        <f>F8+D9-E9</f>
        <v>496000000</v>
      </c>
      <c r="H9" s="5"/>
    </row>
    <row r="10" spans="1:9">
      <c r="A10" s="12"/>
      <c r="B10" s="9"/>
      <c r="C10" s="23"/>
      <c r="D10" s="15"/>
      <c r="E10" s="15"/>
      <c r="F10" s="18"/>
      <c r="H10" s="43" t="s">
        <v>49</v>
      </c>
      <c r="I10" s="44" t="s">
        <v>48</v>
      </c>
    </row>
    <row r="11" spans="1:9">
      <c r="A11" s="12"/>
      <c r="B11" s="33" t="s">
        <v>7</v>
      </c>
      <c r="C11" s="27" t="s">
        <v>42</v>
      </c>
      <c r="D11" s="16"/>
      <c r="E11" s="16"/>
      <c r="F11" s="18">
        <f>F9+D11-E11</f>
        <v>496000000</v>
      </c>
      <c r="H11" s="39">
        <f>'[1]OKT-1'!$E$41</f>
        <v>379818500</v>
      </c>
      <c r="I11" s="39">
        <f>'[1]NOV-1'!$E$10</f>
        <v>484244500</v>
      </c>
    </row>
    <row r="12" spans="1:9">
      <c r="A12" s="12"/>
      <c r="B12" s="13"/>
      <c r="C12" s="29" t="s">
        <v>10</v>
      </c>
      <c r="D12" s="16"/>
      <c r="E12" s="16">
        <v>40000000</v>
      </c>
      <c r="F12" s="18">
        <f t="shared" si="0"/>
        <v>456000000</v>
      </c>
      <c r="H12" s="5"/>
    </row>
    <row r="13" spans="1:9">
      <c r="A13" s="12"/>
      <c r="B13" s="13"/>
      <c r="C13" s="29" t="s">
        <v>11</v>
      </c>
      <c r="D13" s="16"/>
      <c r="E13" s="16">
        <v>13000000</v>
      </c>
      <c r="F13" s="18">
        <f t="shared" si="0"/>
        <v>443000000</v>
      </c>
      <c r="H13" s="5"/>
    </row>
    <row r="14" spans="1:9">
      <c r="A14" s="12"/>
      <c r="B14" s="13"/>
      <c r="C14" s="29" t="s">
        <v>12</v>
      </c>
      <c r="D14" s="16"/>
      <c r="E14" s="16">
        <f>1000000+2500000+3000000+8500000+9698000</f>
        <v>24698000</v>
      </c>
      <c r="F14" s="18">
        <f t="shared" si="0"/>
        <v>418302000</v>
      </c>
    </row>
    <row r="15" spans="1:9">
      <c r="A15" s="12"/>
      <c r="B15" s="13"/>
      <c r="C15" s="29" t="s">
        <v>13</v>
      </c>
      <c r="D15" s="16"/>
      <c r="E15" s="16">
        <v>0</v>
      </c>
      <c r="F15" s="18">
        <f t="shared" si="0"/>
        <v>418302000</v>
      </c>
      <c r="H15" s="5"/>
    </row>
    <row r="16" spans="1:9">
      <c r="A16" s="12"/>
      <c r="B16" s="13"/>
      <c r="C16" s="20" t="s">
        <v>14</v>
      </c>
      <c r="D16" s="16"/>
      <c r="E16" s="31">
        <f>H11-SUM(E12:E14)</f>
        <v>302120500</v>
      </c>
      <c r="F16" s="18">
        <f t="shared" si="0"/>
        <v>116181500</v>
      </c>
      <c r="H16" s="5"/>
    </row>
    <row r="17" spans="1:9">
      <c r="A17" s="12"/>
      <c r="B17" s="13"/>
      <c r="C17" s="27" t="s">
        <v>43</v>
      </c>
      <c r="D17" s="16"/>
      <c r="E17" s="31">
        <f>I11-SUM(E12:E16)</f>
        <v>104426000</v>
      </c>
      <c r="F17" s="18">
        <f>F16+D17-E17</f>
        <v>11755500</v>
      </c>
      <c r="H17" s="5"/>
    </row>
    <row r="18" spans="1:9">
      <c r="A18" s="12"/>
      <c r="B18" s="13"/>
      <c r="C18" s="20"/>
      <c r="D18" s="16"/>
      <c r="E18" s="31"/>
      <c r="F18" s="18"/>
      <c r="H18" s="5"/>
    </row>
    <row r="19" spans="1:9">
      <c r="A19" s="12"/>
      <c r="B19" s="13"/>
      <c r="C19" s="27" t="s">
        <v>22</v>
      </c>
      <c r="D19" s="16"/>
      <c r="E19" s="16"/>
      <c r="F19" s="18">
        <f>F17+D19-E19</f>
        <v>11755500</v>
      </c>
      <c r="H19" s="5"/>
    </row>
    <row r="20" spans="1:9">
      <c r="A20" s="12"/>
      <c r="B20" s="17" t="s">
        <v>7</v>
      </c>
      <c r="C20" s="27" t="s">
        <v>19</v>
      </c>
      <c r="D20" s="15">
        <v>177130000</v>
      </c>
      <c r="E20" s="16">
        <v>177130000</v>
      </c>
      <c r="F20" s="18">
        <f t="shared" si="0"/>
        <v>11755500</v>
      </c>
      <c r="H20" s="5"/>
      <c r="I20" s="37" t="s">
        <v>29</v>
      </c>
    </row>
    <row r="21" spans="1:9">
      <c r="A21" s="12"/>
      <c r="B21" s="17"/>
      <c r="C21" s="34" t="s">
        <v>28</v>
      </c>
      <c r="D21" s="16"/>
      <c r="E21" s="16"/>
      <c r="F21" s="18">
        <f t="shared" si="0"/>
        <v>11755500</v>
      </c>
      <c r="H21" s="5">
        <f>126000000</f>
        <v>126000000</v>
      </c>
      <c r="I21" s="36">
        <f>H21/2</f>
        <v>63000000</v>
      </c>
    </row>
    <row r="22" spans="1:9">
      <c r="A22" s="12"/>
      <c r="B22" s="17"/>
      <c r="C22" s="34" t="s">
        <v>27</v>
      </c>
      <c r="D22" s="1"/>
      <c r="E22" s="16"/>
      <c r="F22" s="18">
        <f t="shared" si="0"/>
        <v>11755500</v>
      </c>
      <c r="H22" s="5">
        <v>17050000</v>
      </c>
      <c r="I22" s="36">
        <f t="shared" ref="I22:I25" si="1">H22/2</f>
        <v>8525000</v>
      </c>
    </row>
    <row r="23" spans="1:9">
      <c r="A23" s="12"/>
      <c r="B23" s="17"/>
      <c r="C23" s="34" t="s">
        <v>26</v>
      </c>
      <c r="D23" s="1"/>
      <c r="E23" s="16"/>
      <c r="F23" s="18">
        <f t="shared" si="0"/>
        <v>11755500</v>
      </c>
      <c r="H23" s="5">
        <v>9920000</v>
      </c>
      <c r="I23" s="36">
        <f t="shared" si="1"/>
        <v>4960000</v>
      </c>
    </row>
    <row r="24" spans="1:9">
      <c r="A24" s="12"/>
      <c r="B24" s="17"/>
      <c r="C24" s="34" t="s">
        <v>25</v>
      </c>
      <c r="D24" s="1"/>
      <c r="E24" s="16"/>
      <c r="F24" s="18">
        <f t="shared" si="0"/>
        <v>11755500</v>
      </c>
      <c r="H24" s="5">
        <v>20160000</v>
      </c>
      <c r="I24" s="36">
        <f t="shared" si="1"/>
        <v>10080000</v>
      </c>
    </row>
    <row r="25" spans="1:9">
      <c r="A25" s="12"/>
      <c r="B25" s="17"/>
      <c r="C25" s="34" t="s">
        <v>24</v>
      </c>
      <c r="D25" s="1"/>
      <c r="E25" s="16"/>
      <c r="F25" s="18">
        <f t="shared" si="0"/>
        <v>11755500</v>
      </c>
      <c r="H25" s="21">
        <v>4000000</v>
      </c>
      <c r="I25" s="36">
        <f t="shared" si="1"/>
        <v>2000000</v>
      </c>
    </row>
    <row r="26" spans="1:9">
      <c r="A26" s="12"/>
      <c r="B26" s="17"/>
      <c r="C26" s="1"/>
      <c r="D26" s="1"/>
      <c r="E26" s="16"/>
      <c r="F26" s="18"/>
      <c r="H26" s="21">
        <f>SUM(H21:H25)</f>
        <v>177130000</v>
      </c>
      <c r="I26" s="38">
        <f>SUM(I21:I25)</f>
        <v>88565000</v>
      </c>
    </row>
    <row r="27" spans="1:9">
      <c r="A27" s="12"/>
      <c r="B27" s="17"/>
      <c r="C27" s="25" t="s">
        <v>18</v>
      </c>
      <c r="D27" s="16"/>
      <c r="E27" s="16"/>
      <c r="F27" s="18">
        <f>F25+D27-E27</f>
        <v>11755500</v>
      </c>
      <c r="H27" s="5"/>
    </row>
    <row r="28" spans="1:9">
      <c r="A28" s="12"/>
      <c r="B28" s="33" t="s">
        <v>7</v>
      </c>
      <c r="C28" s="25" t="s">
        <v>46</v>
      </c>
      <c r="D28" s="16">
        <v>369000000</v>
      </c>
      <c r="E28" s="16">
        <v>369000000</v>
      </c>
      <c r="F28" s="18">
        <f t="shared" si="0"/>
        <v>11755500</v>
      </c>
      <c r="H28" s="5"/>
    </row>
    <row r="29" spans="1:9">
      <c r="A29" s="12"/>
      <c r="B29" s="17"/>
      <c r="C29" s="22" t="s">
        <v>9</v>
      </c>
      <c r="D29" s="16"/>
      <c r="E29" s="16"/>
      <c r="F29" s="18">
        <f t="shared" si="0"/>
        <v>11755500</v>
      </c>
      <c r="H29" s="5"/>
    </row>
    <row r="30" spans="1:9">
      <c r="A30" s="12"/>
      <c r="B30" s="33" t="s">
        <v>7</v>
      </c>
      <c r="C30" s="25" t="s">
        <v>17</v>
      </c>
      <c r="D30" s="16">
        <v>150000000</v>
      </c>
      <c r="E30" s="16">
        <v>150000000</v>
      </c>
      <c r="F30" s="18">
        <f t="shared" si="0"/>
        <v>11755500</v>
      </c>
      <c r="H30" s="5"/>
    </row>
    <row r="31" spans="1:9">
      <c r="A31" s="12"/>
      <c r="B31" s="17"/>
      <c r="C31" s="22" t="s">
        <v>9</v>
      </c>
      <c r="D31" s="16"/>
      <c r="E31" s="16"/>
      <c r="F31" s="18">
        <f t="shared" si="0"/>
        <v>11755500</v>
      </c>
      <c r="H31" s="5"/>
    </row>
    <row r="32" spans="1:9">
      <c r="A32" s="12"/>
      <c r="B32" s="17"/>
      <c r="C32" s="22"/>
      <c r="D32" s="16"/>
      <c r="E32" s="16"/>
      <c r="F32" s="18"/>
      <c r="H32" s="5"/>
    </row>
    <row r="33" spans="1:9">
      <c r="A33" s="12"/>
      <c r="B33" s="17"/>
      <c r="C33" s="25" t="s">
        <v>23</v>
      </c>
      <c r="D33" s="16"/>
      <c r="E33" s="16"/>
      <c r="F33" s="18">
        <f>F31+D33-E33</f>
        <v>11755500</v>
      </c>
      <c r="H33" s="5"/>
      <c r="I33" s="37" t="s">
        <v>29</v>
      </c>
    </row>
    <row r="34" spans="1:9">
      <c r="A34" s="12"/>
      <c r="B34" s="17" t="s">
        <v>7</v>
      </c>
      <c r="C34" s="25" t="s">
        <v>40</v>
      </c>
      <c r="D34" s="16"/>
      <c r="E34" s="16">
        <v>0</v>
      </c>
      <c r="F34" s="18">
        <f t="shared" si="0"/>
        <v>11755500</v>
      </c>
      <c r="H34" s="5">
        <f>I34*2</f>
        <v>47879000</v>
      </c>
      <c r="I34" s="39">
        <v>23939500</v>
      </c>
    </row>
    <row r="35" spans="1:9">
      <c r="A35" s="12"/>
      <c r="B35" s="13"/>
      <c r="C35" s="28" t="s">
        <v>30</v>
      </c>
      <c r="D35" s="32"/>
      <c r="E35" s="18"/>
      <c r="F35" s="18">
        <f t="shared" si="0"/>
        <v>11755500</v>
      </c>
      <c r="G35" s="5"/>
      <c r="H35" s="5">
        <f t="shared" ref="H35:H43" si="2">I35*2</f>
        <v>3900000</v>
      </c>
      <c r="I35" s="15">
        <v>1950000</v>
      </c>
    </row>
    <row r="36" spans="1:9">
      <c r="A36" s="12"/>
      <c r="B36" s="13"/>
      <c r="C36" s="28" t="s">
        <v>31</v>
      </c>
      <c r="D36" s="32"/>
      <c r="E36" s="18"/>
      <c r="F36" s="18">
        <f t="shared" si="0"/>
        <v>11755500</v>
      </c>
      <c r="G36" s="5"/>
      <c r="H36" s="5">
        <f t="shared" si="2"/>
        <v>2535000</v>
      </c>
      <c r="I36" s="15">
        <v>1267500</v>
      </c>
    </row>
    <row r="37" spans="1:9">
      <c r="A37" s="12"/>
      <c r="B37" s="13"/>
      <c r="C37" s="28" t="s">
        <v>32</v>
      </c>
      <c r="D37" s="32"/>
      <c r="E37" s="18"/>
      <c r="F37" s="18">
        <f t="shared" si="0"/>
        <v>11755500</v>
      </c>
      <c r="G37" s="5"/>
      <c r="H37" s="5">
        <f t="shared" si="2"/>
        <v>1924000</v>
      </c>
      <c r="I37" s="15">
        <v>962000</v>
      </c>
    </row>
    <row r="38" spans="1:9">
      <c r="A38" s="12"/>
      <c r="B38" s="13"/>
      <c r="C38" s="28" t="s">
        <v>33</v>
      </c>
      <c r="D38" s="32"/>
      <c r="E38" s="18"/>
      <c r="F38" s="18">
        <f t="shared" si="0"/>
        <v>11755500</v>
      </c>
      <c r="G38" s="5"/>
      <c r="H38" s="5">
        <f t="shared" si="2"/>
        <v>12285000</v>
      </c>
      <c r="I38" s="15">
        <v>6142500</v>
      </c>
    </row>
    <row r="39" spans="1:9">
      <c r="A39" s="12"/>
      <c r="B39" s="13"/>
      <c r="C39" s="28" t="s">
        <v>34</v>
      </c>
      <c r="D39" s="32"/>
      <c r="E39" s="18"/>
      <c r="F39" s="18">
        <f t="shared" si="0"/>
        <v>11755500</v>
      </c>
      <c r="G39" s="5"/>
      <c r="H39" s="5">
        <f t="shared" si="2"/>
        <v>12675000</v>
      </c>
      <c r="I39" s="15">
        <v>6337500</v>
      </c>
    </row>
    <row r="40" spans="1:9">
      <c r="A40" s="12"/>
      <c r="B40" s="13"/>
      <c r="C40" s="28" t="s">
        <v>35</v>
      </c>
      <c r="D40" s="32"/>
      <c r="E40" s="18"/>
      <c r="F40" s="18">
        <f t="shared" si="0"/>
        <v>11755500</v>
      </c>
      <c r="G40" s="5"/>
      <c r="H40" s="5">
        <f t="shared" si="2"/>
        <v>6760000</v>
      </c>
      <c r="I40" s="15">
        <v>3380000</v>
      </c>
    </row>
    <row r="41" spans="1:9">
      <c r="A41" s="12"/>
      <c r="B41" s="13"/>
      <c r="C41" s="28" t="s">
        <v>36</v>
      </c>
      <c r="D41" s="32"/>
      <c r="E41" s="18"/>
      <c r="F41" s="18">
        <f t="shared" si="0"/>
        <v>11755500</v>
      </c>
      <c r="G41" s="5"/>
      <c r="H41" s="5">
        <f t="shared" si="2"/>
        <v>5850000</v>
      </c>
      <c r="I41" s="15">
        <v>2925000</v>
      </c>
    </row>
    <row r="42" spans="1:9">
      <c r="A42" s="12"/>
      <c r="B42" s="13"/>
      <c r="C42" s="28" t="s">
        <v>37</v>
      </c>
      <c r="D42" s="32"/>
      <c r="E42" s="18"/>
      <c r="F42" s="18">
        <f t="shared" si="0"/>
        <v>11755500</v>
      </c>
      <c r="G42" s="5"/>
      <c r="H42" s="5">
        <f t="shared" si="2"/>
        <v>650000</v>
      </c>
      <c r="I42" s="15">
        <v>325000</v>
      </c>
    </row>
    <row r="43" spans="1:9">
      <c r="A43" s="12"/>
      <c r="B43" s="13"/>
      <c r="C43" s="28" t="s">
        <v>38</v>
      </c>
      <c r="D43" s="32"/>
      <c r="E43" s="18"/>
      <c r="F43" s="18">
        <f t="shared" si="0"/>
        <v>11755500</v>
      </c>
      <c r="G43" s="5"/>
      <c r="H43" s="5">
        <f t="shared" si="2"/>
        <v>1300000</v>
      </c>
      <c r="I43" s="15">
        <v>650000</v>
      </c>
    </row>
    <row r="44" spans="1:9">
      <c r="A44" s="12"/>
      <c r="B44" s="13"/>
      <c r="C44" s="14"/>
      <c r="D44" s="16"/>
      <c r="E44" s="16"/>
      <c r="F44" s="18"/>
      <c r="H44" s="5"/>
      <c r="I44" s="5"/>
    </row>
    <row r="45" spans="1:9">
      <c r="A45" s="17"/>
      <c r="B45" s="13"/>
      <c r="C45" s="40" t="s">
        <v>39</v>
      </c>
      <c r="D45" s="18">
        <f>SUM(D4:D44)</f>
        <v>1192130000</v>
      </c>
      <c r="E45" s="18">
        <f>SUM(E4:E44)</f>
        <v>1180374500</v>
      </c>
      <c r="F45" s="19">
        <f>D45-E45</f>
        <v>11755500</v>
      </c>
      <c r="H45" s="21"/>
    </row>
    <row r="47" spans="1:9">
      <c r="D47" s="35" t="s">
        <v>20</v>
      </c>
      <c r="F47" s="5">
        <f>'[1]NOV-1'!$F$10</f>
        <v>11755500</v>
      </c>
    </row>
    <row r="48" spans="1:9">
      <c r="D48" s="30" t="s">
        <v>21</v>
      </c>
      <c r="F48" s="30">
        <f>F45-F47</f>
        <v>0</v>
      </c>
    </row>
    <row r="49" spans="3:3">
      <c r="C49" s="24" t="s">
        <v>45</v>
      </c>
    </row>
  </sheetData>
  <mergeCells count="2">
    <mergeCell ref="A2:B2"/>
    <mergeCell ref="A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Hafidh Adani</cp:lastModifiedBy>
  <dcterms:created xsi:type="dcterms:W3CDTF">2021-09-26T23:33:00Z</dcterms:created>
  <dcterms:modified xsi:type="dcterms:W3CDTF">2025-11-01T05:50:03Z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1033-4.6.0.7725</vt:lpwstr>
  </property>
</Properties>
</file>