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aporan Ayam\Manajemen\TAHUN 2025\"/>
    </mc:Choice>
  </mc:AlternateContent>
  <xr:revisionPtr revIDLastSave="0" documentId="13_ncr:1_{911C8755-29C5-4987-B008-E8F16C6CDEBC}" xr6:coauthVersionLast="47" xr6:coauthVersionMax="47" xr10:uidLastSave="{00000000-0000-0000-0000-000000000000}"/>
  <bookViews>
    <workbookView xWindow="-120" yWindow="-120" windowWidth="29040" windowHeight="15990" tabRatio="605" activeTab="4" xr2:uid="{00000000-000D-0000-FFFF-FFFF00000000}"/>
  </bookViews>
  <sheets>
    <sheet name="JUL 25" sheetId="44" r:id="rId1"/>
    <sheet name="AGT 25" sheetId="45" r:id="rId2"/>
    <sheet name="SEP-25" sheetId="47" r:id="rId3"/>
    <sheet name="OKT-25" sheetId="49" r:id="rId4"/>
    <sheet name="NOV-25" sheetId="5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0" l="1"/>
  <c r="F2" i="50"/>
  <c r="F3" i="50" s="1"/>
  <c r="E2" i="50"/>
  <c r="D2" i="50"/>
  <c r="D6" i="50" s="1"/>
  <c r="E6" i="50"/>
  <c r="F6" i="50" l="1"/>
  <c r="F4" i="49" l="1"/>
  <c r="F5" i="49" s="1"/>
  <c r="F6" i="49" s="1"/>
  <c r="F7" i="49" s="1"/>
  <c r="F8" i="49" s="1"/>
  <c r="F9" i="49" s="1"/>
  <c r="F10" i="49" s="1"/>
  <c r="F11" i="49" s="1"/>
  <c r="F12" i="49" s="1"/>
  <c r="F13" i="49" s="1"/>
  <c r="F14" i="49" s="1"/>
  <c r="F15" i="49" s="1"/>
  <c r="F3" i="49"/>
  <c r="E14" i="49"/>
  <c r="E8" i="49" l="1"/>
  <c r="F2" i="49" l="1"/>
  <c r="E2" i="49"/>
  <c r="E17" i="49" s="1"/>
  <c r="D2" i="49"/>
  <c r="D17" i="49" s="1"/>
  <c r="F17" i="49" l="1"/>
  <c r="E24" i="47" l="1"/>
  <c r="E17" i="47"/>
  <c r="E16" i="47" l="1"/>
  <c r="H14" i="47" s="1"/>
  <c r="E10" i="47"/>
  <c r="E4" i="45"/>
  <c r="E5" i="45"/>
  <c r="E11" i="45"/>
  <c r="E16" i="45"/>
  <c r="E18" i="45"/>
  <c r="E28" i="45"/>
  <c r="H29" i="45"/>
  <c r="G20" i="45" l="1"/>
  <c r="F3" i="44" l="1"/>
  <c r="F4" i="44" s="1"/>
  <c r="H28" i="45"/>
  <c r="E7" i="44" l="1"/>
  <c r="E2" i="45" s="1"/>
  <c r="E35" i="45" s="1"/>
  <c r="D7" i="44"/>
  <c r="D2" i="45" s="1"/>
  <c r="D35" i="45" s="1"/>
  <c r="D2" i="47" s="1"/>
  <c r="D25" i="47" s="1"/>
  <c r="F5" i="44"/>
  <c r="F6" i="44" s="1"/>
  <c r="F35" i="45" l="1"/>
  <c r="F2" i="47" s="1"/>
  <c r="F3" i="47" s="1"/>
  <c r="F4" i="47" s="1"/>
  <c r="F5" i="47" s="1"/>
  <c r="F6" i="47" s="1"/>
  <c r="F7" i="47" s="1"/>
  <c r="F8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2" i="47" s="1"/>
  <c r="F23" i="47" s="1"/>
  <c r="F24" i="47" s="1"/>
  <c r="E2" i="47"/>
  <c r="E25" i="47" s="1"/>
  <c r="F25" i="47" s="1"/>
  <c r="F7" i="44"/>
  <c r="F2" i="45" s="1"/>
  <c r="F3" i="45" s="1"/>
  <c r="F4" i="45" s="1"/>
  <c r="F5" i="45" s="1"/>
  <c r="F6" i="45" s="1"/>
  <c r="F7" i="45" s="1"/>
  <c r="F8" i="45" s="1"/>
  <c r="F9" i="45" s="1"/>
  <c r="F10" i="45" s="1"/>
  <c r="F11" i="45" s="1"/>
  <c r="F12" i="45" s="1"/>
  <c r="F13" i="45" s="1"/>
  <c r="F14" i="45" s="1"/>
  <c r="F15" i="45" s="1"/>
  <c r="F16" i="45" s="1"/>
  <c r="F17" i="45" s="1"/>
  <c r="F18" i="45" s="1"/>
  <c r="F19" i="45" s="1"/>
  <c r="F20" i="45" s="1"/>
  <c r="F21" i="45" s="1"/>
  <c r="F22" i="45" s="1"/>
  <c r="F23" i="45" s="1"/>
  <c r="F24" i="45" s="1"/>
  <c r="F25" i="45" s="1"/>
  <c r="F26" i="45" s="1"/>
  <c r="F27" i="45" s="1"/>
  <c r="F28" i="45" s="1"/>
  <c r="F29" i="45" s="1"/>
  <c r="F30" i="45" s="1"/>
  <c r="F31" i="45" s="1"/>
  <c r="F32" i="45" s="1"/>
  <c r="F33" i="45" s="1"/>
  <c r="F34" i="45" s="1"/>
</calcChain>
</file>

<file path=xl/sharedStrings.xml><?xml version="1.0" encoding="utf-8"?>
<sst xmlns="http://schemas.openxmlformats.org/spreadsheetml/2006/main" count="108" uniqueCount="64">
  <si>
    <t>TGL</t>
  </si>
  <si>
    <t>KETERANGAN</t>
  </si>
  <si>
    <t>MASUK</t>
  </si>
  <si>
    <t>KELUAR</t>
  </si>
  <si>
    <t>SALDO</t>
  </si>
  <si>
    <t>SALDO AWAL</t>
  </si>
  <si>
    <t>Biaya transfer</t>
  </si>
  <si>
    <t>Biaya administrasi rekening Bank</t>
  </si>
  <si>
    <t>Biaya saldo minimum Bank</t>
  </si>
  <si>
    <t>SALDO BULAN JULI 2025</t>
  </si>
  <si>
    <t>Pembelian kertas koran sebanyak 20 kg</t>
  </si>
  <si>
    <t>Pembelian 100 karung sekam @6.000</t>
  </si>
  <si>
    <t>Pembelian 62 gas elpiji @24.000</t>
  </si>
  <si>
    <t>Pembelian obat untuk pembesaran oemah putra D&amp;R</t>
  </si>
  <si>
    <t>Pembelian pakan untuk pembesaran oemah putra D&amp;R</t>
  </si>
  <si>
    <t>Pembelian 4 buah lampu emergency</t>
  </si>
  <si>
    <t>Upah vaksin 3 orang @100.000 tetes mata NDIB LIVE</t>
  </si>
  <si>
    <t>Biaya administrasi kartu debit</t>
  </si>
  <si>
    <t>Bayar listrik</t>
  </si>
  <si>
    <t>Pembelian 30 karung sekam @6.000</t>
  </si>
  <si>
    <t xml:space="preserve">Gas sampai dengan minggu 101 tabung @24.000 (sudah dibeli 62, sisa 39 tabung) </t>
  </si>
  <si>
    <t>Pembelian suntik vaksin untuk operasional kandang</t>
  </si>
  <si>
    <t>Pembelian beras untuk anak kandang</t>
  </si>
  <si>
    <t>Pembelian bumbu, gas, minyak, dan lain-lain</t>
  </si>
  <si>
    <t># Wawan</t>
  </si>
  <si>
    <t># Hendik</t>
  </si>
  <si>
    <t># Irwan</t>
  </si>
  <si>
    <t># Sardi</t>
  </si>
  <si>
    <t>Uang makan 4 orang @500.000</t>
  </si>
  <si>
    <t># Tukang kebun Edeh</t>
  </si>
  <si>
    <t>Gaji bulan Agustus 2025 :</t>
  </si>
  <si>
    <t>Upah vaksin GUMBORO 3 orang @100.000</t>
  </si>
  <si>
    <t>Pembelian kopi</t>
  </si>
  <si>
    <t>Upah vaksin KILL suntik leher 3 orang</t>
  </si>
  <si>
    <t>Upah vaksin GUMBORO 2 3 orang</t>
  </si>
  <si>
    <t>Bunga rekening</t>
  </si>
  <si>
    <t>Pajak rekening</t>
  </si>
  <si>
    <t>Upah vaksin NDIB Cekok 3 orang @100.000</t>
  </si>
  <si>
    <t>Biaya admin</t>
  </si>
  <si>
    <t>Upah vaksin GUMBORO 3 3 orang @100.000</t>
  </si>
  <si>
    <t>Angkutan</t>
  </si>
  <si>
    <t>Bongkar</t>
  </si>
  <si>
    <r>
      <t xml:space="preserve">DP pembayaran pullet </t>
    </r>
    <r>
      <rPr>
        <b/>
        <sz val="12"/>
        <color theme="1"/>
        <rFont val="Calibri"/>
        <family val="2"/>
        <scheme val="minor"/>
      </rPr>
      <t>PERTAMA</t>
    </r>
    <r>
      <rPr>
        <sz val="12"/>
        <color theme="1"/>
        <rFont val="Calibri"/>
        <family val="2"/>
        <scheme val="minor"/>
      </rPr>
      <t xml:space="preserve"> Kevin Farm</t>
    </r>
  </si>
  <si>
    <r>
      <t xml:space="preserve">Pembayaran pullet </t>
    </r>
    <r>
      <rPr>
        <b/>
        <sz val="12"/>
        <color theme="1"/>
        <rFont val="Calibri"/>
        <family val="2"/>
        <scheme val="minor"/>
      </rPr>
      <t>PERTAMA</t>
    </r>
    <r>
      <rPr>
        <sz val="12"/>
        <color theme="1"/>
        <rFont val="Calibri"/>
        <family val="2"/>
        <scheme val="minor"/>
      </rPr>
      <t xml:space="preserve"> sebanyak 4.500 ekor @10.656</t>
    </r>
  </si>
  <si>
    <t>Pembelian pakan 8 ton @6.400</t>
  </si>
  <si>
    <t>Upah vaksin AI H5N1</t>
  </si>
  <si>
    <t>KEUNTUNGAN (KERUGIAN) AYAM PERTAMA</t>
  </si>
  <si>
    <t>SALDO BULAN AGUSTUS 2025</t>
  </si>
  <si>
    <t>Beli beras dan sayur</t>
  </si>
  <si>
    <t>Kapur</t>
  </si>
  <si>
    <t>Pindah ayam umbaran ke baterai 4 orang @100.000</t>
  </si>
  <si>
    <t>Upah vaksin CORYZA 4 orang @200.000</t>
  </si>
  <si>
    <t>Gaji bulan September 2025 :</t>
  </si>
  <si>
    <t>SALDO BULAN SEPTEMBER 2025</t>
  </si>
  <si>
    <t>Biaya sayur anak kandang</t>
  </si>
  <si>
    <t>Dapur</t>
  </si>
  <si>
    <t>Beli pakan @6.200*8.000</t>
  </si>
  <si>
    <t>Biaya angkutan</t>
  </si>
  <si>
    <t>Upah suntik CORYZA</t>
  </si>
  <si>
    <t>Bongkar pakan</t>
  </si>
  <si>
    <t>Gaji bulan Oktober 2025 :</t>
  </si>
  <si>
    <t># Irfan (uang makan @500.000)</t>
  </si>
  <si>
    <t># Marwan (gaji @2.400.000 + uang makan @500.000)</t>
  </si>
  <si>
    <r>
      <t xml:space="preserve">Pelunasan pembayaran pullet </t>
    </r>
    <r>
      <rPr>
        <b/>
        <sz val="12"/>
        <color theme="1"/>
        <rFont val="Calibri"/>
        <family val="2"/>
        <scheme val="minor"/>
      </rPr>
      <t>PERTAMA</t>
    </r>
    <r>
      <rPr>
        <sz val="12"/>
        <color theme="1"/>
        <rFont val="Calibri"/>
        <family val="2"/>
        <scheme val="minor"/>
      </rPr>
      <t xml:space="preserve"> Kampoeng Endok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</si>
</sst>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justify"/>
    </xf>
    <xf numFmtId="164" fontId="0" fillId="0" borderId="0" xfId="1" applyFont="1"/>
    <xf numFmtId="0" fontId="1" fillId="2" borderId="1" xfId="0" applyFont="1" applyFill="1" applyBorder="1" applyAlignment="1">
      <alignment horizontal="center" vertical="center"/>
    </xf>
    <xf numFmtId="164" fontId="1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justify"/>
    </xf>
    <xf numFmtId="164" fontId="1" fillId="0" borderId="1" xfId="1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justify" vertical="top"/>
    </xf>
    <xf numFmtId="164" fontId="0" fillId="0" borderId="1" xfId="1" applyFont="1" applyBorder="1"/>
    <xf numFmtId="0" fontId="2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164" fontId="0" fillId="0" borderId="1" xfId="1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164" fontId="1" fillId="0" borderId="1" xfId="1" applyFont="1" applyBorder="1" applyAlignment="1">
      <alignment vertical="top"/>
    </xf>
    <xf numFmtId="164" fontId="0" fillId="0" borderId="0" xfId="0" applyNumberFormat="1"/>
    <xf numFmtId="164" fontId="3" fillId="3" borderId="1" xfId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justify" vertical="justify"/>
    </xf>
    <xf numFmtId="0" fontId="1" fillId="2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C7" sqref="C7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6" t="s">
        <v>0</v>
      </c>
      <c r="B1" s="26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4"/>
      <c r="E2" s="14"/>
      <c r="F2" s="10">
        <v>0</v>
      </c>
    </row>
    <row r="3" spans="1:8">
      <c r="A3" s="11"/>
      <c r="B3" s="12">
        <v>19</v>
      </c>
      <c r="C3" s="15" t="s">
        <v>6</v>
      </c>
      <c r="D3" s="14"/>
      <c r="E3" s="18">
        <v>2500</v>
      </c>
      <c r="F3" s="20">
        <f t="shared" ref="F3:F6" si="0">D3+F2-E3</f>
        <v>-2500</v>
      </c>
      <c r="H3" s="21"/>
    </row>
    <row r="4" spans="1:8">
      <c r="A4" s="11"/>
      <c r="B4" s="12">
        <v>22</v>
      </c>
      <c r="C4" s="15" t="s">
        <v>6</v>
      </c>
      <c r="D4" s="14"/>
      <c r="E4" s="18">
        <v>2500</v>
      </c>
      <c r="F4" s="20">
        <f t="shared" si="0"/>
        <v>-5000</v>
      </c>
      <c r="H4" s="21"/>
    </row>
    <row r="5" spans="1:8">
      <c r="A5" s="11"/>
      <c r="B5" s="12">
        <v>31</v>
      </c>
      <c r="C5" s="13" t="s">
        <v>7</v>
      </c>
      <c r="D5" s="14"/>
      <c r="E5" s="18">
        <v>12500</v>
      </c>
      <c r="F5" s="20">
        <f t="shared" si="0"/>
        <v>-17500</v>
      </c>
      <c r="H5" s="21"/>
    </row>
    <row r="6" spans="1:8">
      <c r="A6" s="11"/>
      <c r="B6" s="12">
        <v>31</v>
      </c>
      <c r="C6" s="13" t="s">
        <v>8</v>
      </c>
      <c r="D6" s="14"/>
      <c r="E6" s="18">
        <v>25000</v>
      </c>
      <c r="F6" s="20">
        <f t="shared" si="0"/>
        <v>-42500</v>
      </c>
      <c r="H6" s="21"/>
    </row>
    <row r="7" spans="1:8">
      <c r="A7" s="17"/>
      <c r="B7" s="12"/>
      <c r="C7" s="19" t="s">
        <v>9</v>
      </c>
      <c r="D7" s="20">
        <f>SUM(D2:D6)</f>
        <v>0</v>
      </c>
      <c r="E7" s="20">
        <f>SUM(E2:E6)</f>
        <v>42500</v>
      </c>
      <c r="F7" s="22">
        <f>D7-E7</f>
        <v>-42500</v>
      </c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C12" sqref="C12:D12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6" t="s">
        <v>0</v>
      </c>
      <c r="B1" s="26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0">
        <f>'JUL 25'!D7</f>
        <v>0</v>
      </c>
      <c r="E2" s="10">
        <f>'JUL 25'!E7</f>
        <v>42500</v>
      </c>
      <c r="F2" s="10">
        <f>'JUL 25'!F7</f>
        <v>-42500</v>
      </c>
    </row>
    <row r="3" spans="1:8">
      <c r="A3" s="11"/>
      <c r="B3" s="12">
        <v>10</v>
      </c>
      <c r="C3" s="13" t="s">
        <v>10</v>
      </c>
      <c r="D3" s="14"/>
      <c r="E3" s="18">
        <v>183500</v>
      </c>
      <c r="F3" s="20">
        <f t="shared" ref="F3:F27" si="0">F2+D3-E3</f>
        <v>-226000</v>
      </c>
      <c r="H3" s="21"/>
    </row>
    <row r="4" spans="1:8">
      <c r="A4" s="11"/>
      <c r="B4" s="12">
        <v>10</v>
      </c>
      <c r="C4" s="13" t="s">
        <v>11</v>
      </c>
      <c r="D4" s="14"/>
      <c r="E4" s="18">
        <f>100*6000</f>
        <v>600000</v>
      </c>
      <c r="F4" s="20">
        <f t="shared" si="0"/>
        <v>-826000</v>
      </c>
      <c r="H4" s="21"/>
    </row>
    <row r="5" spans="1:8">
      <c r="A5" s="11"/>
      <c r="B5" s="12">
        <v>10</v>
      </c>
      <c r="C5" s="13" t="s">
        <v>12</v>
      </c>
      <c r="D5" s="14"/>
      <c r="E5" s="18">
        <f>62*24000</f>
        <v>1488000</v>
      </c>
      <c r="F5" s="20">
        <f t="shared" si="0"/>
        <v>-2314000</v>
      </c>
      <c r="H5" s="21"/>
    </row>
    <row r="6" spans="1:8">
      <c r="A6" s="11"/>
      <c r="B6" s="12">
        <v>10</v>
      </c>
      <c r="C6" s="15" t="s">
        <v>6</v>
      </c>
      <c r="D6" s="14"/>
      <c r="E6" s="18">
        <v>2500</v>
      </c>
      <c r="F6" s="20">
        <f t="shared" si="0"/>
        <v>-2316500</v>
      </c>
      <c r="H6" s="21"/>
    </row>
    <row r="7" spans="1:8">
      <c r="A7" s="8"/>
      <c r="B7" s="16">
        <v>10</v>
      </c>
      <c r="C7" s="16" t="s">
        <v>6</v>
      </c>
      <c r="D7" s="14"/>
      <c r="E7" s="14">
        <v>2500</v>
      </c>
      <c r="F7" s="20">
        <f t="shared" si="0"/>
        <v>-2319000</v>
      </c>
      <c r="H7" s="21"/>
    </row>
    <row r="8" spans="1:8">
      <c r="A8" s="8"/>
      <c r="B8" s="16">
        <v>14</v>
      </c>
      <c r="C8" s="16" t="s">
        <v>13</v>
      </c>
      <c r="D8" s="14"/>
      <c r="E8" s="14">
        <v>13970000</v>
      </c>
      <c r="F8" s="20">
        <f t="shared" si="0"/>
        <v>-16289000</v>
      </c>
      <c r="H8" s="21"/>
    </row>
    <row r="9" spans="1:8">
      <c r="A9" s="8"/>
      <c r="B9" s="16">
        <v>14</v>
      </c>
      <c r="C9" s="16" t="s">
        <v>14</v>
      </c>
      <c r="D9" s="14"/>
      <c r="E9" s="14">
        <v>15200000</v>
      </c>
      <c r="F9" s="20">
        <f t="shared" si="0"/>
        <v>-31489000</v>
      </c>
      <c r="H9" s="21"/>
    </row>
    <row r="10" spans="1:8">
      <c r="A10" s="8"/>
      <c r="B10" s="16">
        <v>14</v>
      </c>
      <c r="C10" s="16" t="s">
        <v>15</v>
      </c>
      <c r="D10" s="14"/>
      <c r="E10" s="14">
        <v>220000</v>
      </c>
      <c r="F10" s="20">
        <f t="shared" si="0"/>
        <v>-31709000</v>
      </c>
      <c r="H10" s="21"/>
    </row>
    <row r="11" spans="1:8">
      <c r="A11" s="8"/>
      <c r="B11" s="16">
        <v>15</v>
      </c>
      <c r="C11" s="16" t="s">
        <v>43</v>
      </c>
      <c r="D11" s="14"/>
      <c r="E11" s="14">
        <f>10656*4500</f>
        <v>47952000</v>
      </c>
      <c r="F11" s="20">
        <f t="shared" si="0"/>
        <v>-79661000</v>
      </c>
      <c r="H11" s="21"/>
    </row>
    <row r="12" spans="1:8">
      <c r="A12" s="8"/>
      <c r="B12" s="16">
        <v>15</v>
      </c>
      <c r="C12" s="16" t="s">
        <v>42</v>
      </c>
      <c r="D12" s="14">
        <v>250000000</v>
      </c>
      <c r="E12" s="14"/>
      <c r="F12" s="20">
        <f t="shared" si="0"/>
        <v>170339000</v>
      </c>
      <c r="H12" s="21"/>
    </row>
    <row r="13" spans="1:8">
      <c r="A13" s="8"/>
      <c r="B13" s="16">
        <v>17</v>
      </c>
      <c r="C13" s="23" t="s">
        <v>17</v>
      </c>
      <c r="D13" s="14"/>
      <c r="E13" s="14">
        <v>10000</v>
      </c>
      <c r="F13" s="20">
        <f t="shared" si="0"/>
        <v>170329000</v>
      </c>
      <c r="H13" s="21"/>
    </row>
    <row r="14" spans="1:8">
      <c r="A14" s="8"/>
      <c r="B14" s="16">
        <v>19</v>
      </c>
      <c r="C14" s="23" t="s">
        <v>16</v>
      </c>
      <c r="D14" s="14"/>
      <c r="E14" s="14">
        <v>300000</v>
      </c>
      <c r="F14" s="20">
        <f t="shared" si="0"/>
        <v>170029000</v>
      </c>
      <c r="H14" s="21"/>
    </row>
    <row r="15" spans="1:8">
      <c r="A15" s="8"/>
      <c r="B15" s="16">
        <v>22</v>
      </c>
      <c r="C15" s="23" t="s">
        <v>18</v>
      </c>
      <c r="D15" s="14"/>
      <c r="E15" s="14">
        <v>502800</v>
      </c>
      <c r="F15" s="20">
        <f t="shared" si="0"/>
        <v>169526200</v>
      </c>
      <c r="H15" s="21"/>
    </row>
    <row r="16" spans="1:8">
      <c r="A16" s="8"/>
      <c r="B16" s="16">
        <v>22</v>
      </c>
      <c r="C16" s="13" t="s">
        <v>19</v>
      </c>
      <c r="D16" s="14"/>
      <c r="E16" s="4">
        <f>30*6000</f>
        <v>180000</v>
      </c>
      <c r="F16" s="20">
        <f t="shared" si="0"/>
        <v>169346200</v>
      </c>
      <c r="H16" s="21"/>
    </row>
    <row r="17" spans="1:8">
      <c r="A17" s="8"/>
      <c r="B17" s="16">
        <v>22</v>
      </c>
      <c r="C17" s="23" t="s">
        <v>31</v>
      </c>
      <c r="D17" s="14"/>
      <c r="E17" s="14">
        <v>300000</v>
      </c>
      <c r="F17" s="20">
        <f t="shared" si="0"/>
        <v>169046200</v>
      </c>
      <c r="H17" s="21"/>
    </row>
    <row r="18" spans="1:8">
      <c r="A18" s="8"/>
      <c r="B18" s="16">
        <v>22</v>
      </c>
      <c r="C18" s="23" t="s">
        <v>20</v>
      </c>
      <c r="D18" s="14"/>
      <c r="E18" s="14">
        <f>39*24000</f>
        <v>936000</v>
      </c>
      <c r="F18" s="20">
        <f t="shared" si="0"/>
        <v>168110200</v>
      </c>
      <c r="H18" s="21"/>
    </row>
    <row r="19" spans="1:8">
      <c r="A19" s="8"/>
      <c r="B19" s="16">
        <v>22</v>
      </c>
      <c r="C19" s="23" t="s">
        <v>21</v>
      </c>
      <c r="D19" s="14"/>
      <c r="E19" s="14">
        <v>2801900</v>
      </c>
      <c r="F19" s="20">
        <f t="shared" si="0"/>
        <v>165308300</v>
      </c>
      <c r="H19" s="21"/>
    </row>
    <row r="20" spans="1:8">
      <c r="A20" s="8"/>
      <c r="B20" s="16">
        <v>22</v>
      </c>
      <c r="C20" s="23" t="s">
        <v>22</v>
      </c>
      <c r="D20" s="14"/>
      <c r="E20" s="14">
        <v>250000</v>
      </c>
      <c r="F20" s="20">
        <f t="shared" si="0"/>
        <v>165058300</v>
      </c>
      <c r="G20" s="21">
        <f>SUM(E20:E28)</f>
        <v>12850000</v>
      </c>
    </row>
    <row r="21" spans="1:8">
      <c r="A21" s="8"/>
      <c r="B21" s="16">
        <v>22</v>
      </c>
      <c r="C21" s="23" t="s">
        <v>23</v>
      </c>
      <c r="D21" s="14"/>
      <c r="E21" s="14">
        <v>500000</v>
      </c>
      <c r="F21" s="20">
        <f t="shared" si="0"/>
        <v>164558300</v>
      </c>
      <c r="H21" s="21"/>
    </row>
    <row r="22" spans="1:8">
      <c r="A22" s="8"/>
      <c r="B22" s="16">
        <v>22</v>
      </c>
      <c r="C22" s="23" t="s">
        <v>30</v>
      </c>
      <c r="D22" s="14"/>
      <c r="E22" s="14"/>
      <c r="F22" s="20">
        <f t="shared" si="0"/>
        <v>164558300</v>
      </c>
      <c r="H22" s="21"/>
    </row>
    <row r="23" spans="1:8">
      <c r="A23" s="8"/>
      <c r="B23" s="16"/>
      <c r="C23" s="23" t="s">
        <v>24</v>
      </c>
      <c r="D23" s="14"/>
      <c r="E23" s="14">
        <v>2400000</v>
      </c>
      <c r="F23" s="20">
        <f t="shared" si="0"/>
        <v>162158300</v>
      </c>
      <c r="H23" s="21"/>
    </row>
    <row r="24" spans="1:8">
      <c r="A24" s="8"/>
      <c r="B24" s="16"/>
      <c r="C24" s="23" t="s">
        <v>25</v>
      </c>
      <c r="D24" s="14"/>
      <c r="E24" s="14">
        <v>2400000</v>
      </c>
      <c r="F24" s="20">
        <f t="shared" si="0"/>
        <v>159758300</v>
      </c>
    </row>
    <row r="25" spans="1:8">
      <c r="A25" s="8"/>
      <c r="B25" s="16"/>
      <c r="C25" s="23" t="s">
        <v>26</v>
      </c>
      <c r="D25" s="14"/>
      <c r="E25" s="14">
        <v>2400000</v>
      </c>
      <c r="F25" s="20">
        <f t="shared" si="0"/>
        <v>157358300</v>
      </c>
      <c r="H25" s="21"/>
    </row>
    <row r="26" spans="1:8">
      <c r="A26" s="8"/>
      <c r="B26" s="16"/>
      <c r="C26" s="23" t="s">
        <v>27</v>
      </c>
      <c r="D26" s="14"/>
      <c r="E26" s="14">
        <v>2400000</v>
      </c>
      <c r="F26" s="20">
        <f t="shared" si="0"/>
        <v>154958300</v>
      </c>
      <c r="H26" s="21"/>
    </row>
    <row r="27" spans="1:8">
      <c r="A27" s="24"/>
      <c r="B27" s="8"/>
      <c r="C27" s="25" t="s">
        <v>29</v>
      </c>
      <c r="D27" s="14"/>
      <c r="E27" s="14">
        <v>500000</v>
      </c>
      <c r="F27" s="20">
        <f t="shared" si="0"/>
        <v>154458300</v>
      </c>
      <c r="H27" s="21"/>
    </row>
    <row r="28" spans="1:8">
      <c r="A28" s="8"/>
      <c r="B28" s="16">
        <v>22</v>
      </c>
      <c r="C28" s="23" t="s">
        <v>28</v>
      </c>
      <c r="D28" s="14"/>
      <c r="E28" s="14">
        <f>4*500000</f>
        <v>2000000</v>
      </c>
      <c r="F28" s="20">
        <f>F27+D28-E28</f>
        <v>152458300</v>
      </c>
      <c r="H28" s="21">
        <f>180000+300000+936000</f>
        <v>1416000</v>
      </c>
    </row>
    <row r="29" spans="1:8">
      <c r="A29" s="8"/>
      <c r="B29" s="16">
        <v>29</v>
      </c>
      <c r="C29" s="23" t="s">
        <v>32</v>
      </c>
      <c r="D29" s="14"/>
      <c r="E29" s="14">
        <v>200000</v>
      </c>
      <c r="F29" s="20">
        <f t="shared" ref="F29:F34" si="1">F28+D29-E29</f>
        <v>152258300</v>
      </c>
      <c r="H29" s="21">
        <f>SUM(E29:E31)</f>
        <v>1150000</v>
      </c>
    </row>
    <row r="30" spans="1:8">
      <c r="A30" s="8"/>
      <c r="B30" s="16">
        <v>29</v>
      </c>
      <c r="C30" s="23" t="s">
        <v>33</v>
      </c>
      <c r="D30" s="14"/>
      <c r="E30" s="14">
        <v>600000</v>
      </c>
      <c r="F30" s="20">
        <f t="shared" si="1"/>
        <v>151658300</v>
      </c>
      <c r="H30" s="21"/>
    </row>
    <row r="31" spans="1:8">
      <c r="A31" s="8"/>
      <c r="B31" s="16">
        <v>29</v>
      </c>
      <c r="C31" s="23" t="s">
        <v>34</v>
      </c>
      <c r="D31" s="14"/>
      <c r="E31" s="14">
        <v>350000</v>
      </c>
      <c r="F31" s="20">
        <f t="shared" si="1"/>
        <v>151308300</v>
      </c>
      <c r="H31" s="21"/>
    </row>
    <row r="32" spans="1:8">
      <c r="A32" s="8"/>
      <c r="B32" s="16">
        <v>31</v>
      </c>
      <c r="C32" s="23" t="s">
        <v>35</v>
      </c>
      <c r="D32" s="14">
        <v>8152</v>
      </c>
      <c r="E32" s="14"/>
      <c r="F32" s="20">
        <f t="shared" si="1"/>
        <v>151316452</v>
      </c>
      <c r="H32" s="21"/>
    </row>
    <row r="33" spans="1:8">
      <c r="A33" s="8"/>
      <c r="B33" s="16">
        <v>31</v>
      </c>
      <c r="C33" s="23" t="s">
        <v>36</v>
      </c>
      <c r="D33" s="14"/>
      <c r="E33" s="14">
        <v>1630</v>
      </c>
      <c r="F33" s="20">
        <f t="shared" si="1"/>
        <v>151314822</v>
      </c>
      <c r="H33" s="21"/>
    </row>
    <row r="34" spans="1:8">
      <c r="A34" s="8"/>
      <c r="B34" s="16">
        <v>31</v>
      </c>
      <c r="C34" s="23" t="s">
        <v>17</v>
      </c>
      <c r="D34" s="14"/>
      <c r="E34" s="14">
        <v>12500</v>
      </c>
      <c r="F34" s="20">
        <f t="shared" si="1"/>
        <v>151302322</v>
      </c>
      <c r="H34" s="21"/>
    </row>
    <row r="35" spans="1:8">
      <c r="A35" s="17"/>
      <c r="B35" s="12"/>
      <c r="C35" s="19" t="s">
        <v>47</v>
      </c>
      <c r="D35" s="20">
        <f>SUM(D2:D34)</f>
        <v>250008152</v>
      </c>
      <c r="E35" s="20">
        <f>SUM(E2:E34)</f>
        <v>98705830</v>
      </c>
      <c r="F35" s="22">
        <f>D35-E35</f>
        <v>151302322</v>
      </c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A247-B20D-42B0-8CB5-C1FC1C91DD33}">
  <dimension ref="A1:I33"/>
  <sheetViews>
    <sheetView workbookViewId="0">
      <selection activeCell="C18" sqref="C18:E22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6" t="s">
        <v>0</v>
      </c>
      <c r="B1" s="26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0">
        <f>'AGT 25'!D35</f>
        <v>250008152</v>
      </c>
      <c r="E2" s="10">
        <f>'AGT 25'!E35</f>
        <v>98705830</v>
      </c>
      <c r="F2" s="10">
        <f>'AGT 25'!F35</f>
        <v>151302322</v>
      </c>
    </row>
    <row r="3" spans="1:8">
      <c r="A3" s="11"/>
      <c r="B3" s="12">
        <v>1</v>
      </c>
      <c r="C3" s="13" t="s">
        <v>32</v>
      </c>
      <c r="D3" s="14"/>
      <c r="E3" s="18">
        <v>100000</v>
      </c>
      <c r="F3" s="20">
        <f t="shared" ref="F3:F24" si="0">F2+D3-E3</f>
        <v>151202322</v>
      </c>
      <c r="H3" s="21"/>
    </row>
    <row r="4" spans="1:8">
      <c r="A4" s="8"/>
      <c r="B4" s="16">
        <v>1</v>
      </c>
      <c r="C4" s="23" t="s">
        <v>37</v>
      </c>
      <c r="D4" s="14"/>
      <c r="E4" s="14">
        <v>300000</v>
      </c>
      <c r="F4" s="20">
        <f t="shared" si="0"/>
        <v>150902322</v>
      </c>
      <c r="H4" s="21"/>
    </row>
    <row r="5" spans="1:8">
      <c r="A5" s="8"/>
      <c r="B5" s="16">
        <v>3</v>
      </c>
      <c r="C5" s="16" t="s">
        <v>38</v>
      </c>
      <c r="D5" s="14"/>
      <c r="E5" s="14">
        <v>2500</v>
      </c>
      <c r="F5" s="20">
        <f t="shared" si="0"/>
        <v>150899822</v>
      </c>
      <c r="H5" s="21"/>
    </row>
    <row r="6" spans="1:8">
      <c r="A6" s="8"/>
      <c r="B6" s="16">
        <v>5</v>
      </c>
      <c r="C6" s="16" t="s">
        <v>38</v>
      </c>
      <c r="D6" s="14"/>
      <c r="E6" s="14">
        <v>2500</v>
      </c>
      <c r="F6" s="20">
        <f t="shared" si="0"/>
        <v>150897322</v>
      </c>
      <c r="H6" s="21"/>
    </row>
    <row r="7" spans="1:8">
      <c r="A7" s="8"/>
      <c r="B7" s="16">
        <v>6</v>
      </c>
      <c r="C7" s="16" t="s">
        <v>18</v>
      </c>
      <c r="D7" s="14"/>
      <c r="E7" s="14">
        <v>500000</v>
      </c>
      <c r="F7" s="20">
        <f t="shared" si="0"/>
        <v>150397322</v>
      </c>
      <c r="H7" s="21"/>
    </row>
    <row r="8" spans="1:8">
      <c r="A8" s="8"/>
      <c r="B8" s="16">
        <v>6</v>
      </c>
      <c r="C8" s="16" t="s">
        <v>38</v>
      </c>
      <c r="D8" s="14"/>
      <c r="E8" s="14">
        <v>3500</v>
      </c>
      <c r="F8" s="20">
        <f t="shared" si="0"/>
        <v>150393822</v>
      </c>
      <c r="H8" s="21"/>
    </row>
    <row r="9" spans="1:8">
      <c r="A9" s="8"/>
      <c r="B9" s="16">
        <v>7</v>
      </c>
      <c r="C9" s="16" t="s">
        <v>39</v>
      </c>
      <c r="D9" s="14"/>
      <c r="E9" s="14">
        <v>300000</v>
      </c>
      <c r="F9" s="20">
        <f t="shared" si="0"/>
        <v>150093822</v>
      </c>
      <c r="H9" s="21"/>
    </row>
    <row r="10" spans="1:8">
      <c r="A10" s="8"/>
      <c r="B10" s="16">
        <v>8</v>
      </c>
      <c r="C10" s="16" t="s">
        <v>44</v>
      </c>
      <c r="D10" s="14"/>
      <c r="E10" s="14">
        <f>6400*8000</f>
        <v>51200000</v>
      </c>
      <c r="F10" s="20">
        <f t="shared" si="0"/>
        <v>98893822</v>
      </c>
      <c r="H10" s="21"/>
    </row>
    <row r="11" spans="1:8">
      <c r="A11" s="8"/>
      <c r="B11" s="16">
        <v>8</v>
      </c>
      <c r="C11" s="16" t="s">
        <v>40</v>
      </c>
      <c r="D11" s="14"/>
      <c r="E11" s="14">
        <v>1100000</v>
      </c>
      <c r="F11" s="20">
        <f t="shared" si="0"/>
        <v>97793822</v>
      </c>
      <c r="H11" s="21"/>
    </row>
    <row r="12" spans="1:8">
      <c r="A12" s="8"/>
      <c r="B12" s="16">
        <v>8</v>
      </c>
      <c r="C12" s="16" t="s">
        <v>41</v>
      </c>
      <c r="D12" s="14"/>
      <c r="E12" s="14">
        <v>250000</v>
      </c>
      <c r="F12" s="20">
        <f t="shared" si="0"/>
        <v>97543822</v>
      </c>
      <c r="H12" s="21"/>
    </row>
    <row r="13" spans="1:8">
      <c r="A13" s="8"/>
      <c r="B13" s="16">
        <v>12</v>
      </c>
      <c r="C13" s="16" t="s">
        <v>45</v>
      </c>
      <c r="D13" s="14"/>
      <c r="E13" s="14">
        <v>650000</v>
      </c>
      <c r="F13" s="20">
        <f t="shared" si="0"/>
        <v>96893822</v>
      </c>
      <c r="H13" s="21"/>
    </row>
    <row r="14" spans="1:8">
      <c r="A14" s="8"/>
      <c r="B14" s="16">
        <v>21</v>
      </c>
      <c r="C14" s="16" t="s">
        <v>48</v>
      </c>
      <c r="D14" s="14"/>
      <c r="E14" s="14">
        <v>400000</v>
      </c>
      <c r="F14" s="20">
        <f t="shared" si="0"/>
        <v>96493822</v>
      </c>
      <c r="H14" s="21">
        <f>SUM(E14:E16)</f>
        <v>2450000</v>
      </c>
    </row>
    <row r="15" spans="1:8">
      <c r="A15" s="8"/>
      <c r="B15" s="16">
        <v>21</v>
      </c>
      <c r="C15" s="16" t="s">
        <v>49</v>
      </c>
      <c r="D15" s="14"/>
      <c r="E15" s="14">
        <v>1650000</v>
      </c>
      <c r="F15" s="20">
        <f t="shared" si="0"/>
        <v>94843822</v>
      </c>
      <c r="H15" s="21"/>
    </row>
    <row r="16" spans="1:8">
      <c r="A16" s="8"/>
      <c r="B16" s="16">
        <v>21</v>
      </c>
      <c r="C16" s="16" t="s">
        <v>50</v>
      </c>
      <c r="D16" s="14"/>
      <c r="E16" s="14">
        <f>4*100000</f>
        <v>400000</v>
      </c>
      <c r="F16" s="20">
        <f t="shared" si="0"/>
        <v>94443822</v>
      </c>
      <c r="H16" s="21"/>
    </row>
    <row r="17" spans="1:9">
      <c r="A17" s="8"/>
      <c r="B17" s="16">
        <v>22</v>
      </c>
      <c r="C17" s="16" t="s">
        <v>51</v>
      </c>
      <c r="D17" s="14"/>
      <c r="E17" s="14">
        <f>4*200000</f>
        <v>800000</v>
      </c>
      <c r="F17" s="20">
        <f t="shared" si="0"/>
        <v>93643822</v>
      </c>
      <c r="H17" s="21"/>
    </row>
    <row r="18" spans="1:9">
      <c r="A18" s="8"/>
      <c r="B18" s="16">
        <v>24</v>
      </c>
      <c r="C18" s="16" t="s">
        <v>52</v>
      </c>
      <c r="D18" s="14"/>
      <c r="E18" s="14"/>
      <c r="F18" s="20">
        <f t="shared" si="0"/>
        <v>93643822</v>
      </c>
      <c r="H18" s="21"/>
    </row>
    <row r="19" spans="1:9">
      <c r="A19" s="8"/>
      <c r="B19" s="16"/>
      <c r="C19" s="23" t="s">
        <v>24</v>
      </c>
      <c r="D19" s="14"/>
      <c r="E19" s="14">
        <v>2400000</v>
      </c>
      <c r="F19" s="20">
        <f t="shared" si="0"/>
        <v>91243822</v>
      </c>
      <c r="H19" s="21"/>
    </row>
    <row r="20" spans="1:9">
      <c r="A20" s="8"/>
      <c r="B20" s="16"/>
      <c r="C20" s="23" t="s">
        <v>25</v>
      </c>
      <c r="D20" s="14"/>
      <c r="E20" s="14">
        <v>2400000</v>
      </c>
      <c r="F20" s="20">
        <f t="shared" si="0"/>
        <v>88843822</v>
      </c>
      <c r="H20" s="21"/>
    </row>
    <row r="21" spans="1:9">
      <c r="A21" s="8"/>
      <c r="B21" s="16"/>
      <c r="C21" s="23" t="s">
        <v>26</v>
      </c>
      <c r="D21" s="14"/>
      <c r="E21" s="14">
        <v>2400000</v>
      </c>
      <c r="F21" s="20">
        <f t="shared" si="0"/>
        <v>86443822</v>
      </c>
      <c r="H21" s="21"/>
    </row>
    <row r="22" spans="1:9">
      <c r="A22" s="8"/>
      <c r="B22" s="16"/>
      <c r="C22" s="23" t="s">
        <v>27</v>
      </c>
      <c r="D22" s="14"/>
      <c r="E22" s="14">
        <v>2400000</v>
      </c>
      <c r="F22" s="20">
        <f t="shared" si="0"/>
        <v>84043822</v>
      </c>
      <c r="H22" s="21"/>
    </row>
    <row r="23" spans="1:9">
      <c r="A23" s="8"/>
      <c r="B23" s="16"/>
      <c r="C23" s="25" t="s">
        <v>29</v>
      </c>
      <c r="D23" s="14"/>
      <c r="E23" s="14">
        <v>500000</v>
      </c>
      <c r="F23" s="20">
        <f t="shared" si="0"/>
        <v>83543822</v>
      </c>
      <c r="H23" s="21"/>
    </row>
    <row r="24" spans="1:9">
      <c r="A24" s="8"/>
      <c r="B24" s="16">
        <v>24</v>
      </c>
      <c r="C24" s="23" t="s">
        <v>28</v>
      </c>
      <c r="D24" s="14"/>
      <c r="E24" s="14">
        <f>4*500000</f>
        <v>2000000</v>
      </c>
      <c r="F24" s="20">
        <f t="shared" si="0"/>
        <v>81543822</v>
      </c>
      <c r="H24" s="21"/>
    </row>
    <row r="25" spans="1:9">
      <c r="A25" s="17"/>
      <c r="B25" s="12"/>
      <c r="C25" s="19" t="s">
        <v>53</v>
      </c>
      <c r="D25" s="20">
        <f>SUM(D2:D24)</f>
        <v>250008152</v>
      </c>
      <c r="E25" s="20">
        <f>SUM(E2:E24)</f>
        <v>168464330</v>
      </c>
      <c r="F25" s="22">
        <f>D25-E25</f>
        <v>81543822</v>
      </c>
    </row>
    <row r="27" spans="1:9">
      <c r="D27" s="3"/>
      <c r="E27" s="3"/>
      <c r="F27" s="3"/>
      <c r="G27" s="3"/>
      <c r="H27" s="3"/>
      <c r="I27" s="3"/>
    </row>
    <row r="28" spans="1:9">
      <c r="D28" s="3"/>
      <c r="E28" s="3"/>
      <c r="F28" s="3"/>
      <c r="G28" s="3"/>
      <c r="H28" s="3"/>
      <c r="I28" s="3"/>
    </row>
    <row r="29" spans="1:9">
      <c r="D29" s="3"/>
      <c r="E29" s="3"/>
      <c r="F29" s="3"/>
      <c r="G29" s="3"/>
      <c r="H29" s="3"/>
      <c r="I29" s="3"/>
    </row>
    <row r="30" spans="1:9">
      <c r="D30" s="3"/>
      <c r="E30" s="3"/>
      <c r="F30" s="3"/>
      <c r="G30" s="3"/>
      <c r="H30" s="3"/>
      <c r="I30" s="3"/>
    </row>
    <row r="31" spans="1:9">
      <c r="D31" s="3"/>
      <c r="E31" s="3"/>
      <c r="F31" s="3"/>
      <c r="G31" s="3"/>
      <c r="H31" s="3"/>
      <c r="I31" s="3"/>
    </row>
    <row r="32" spans="1:9">
      <c r="D32" s="3"/>
      <c r="E32" s="3"/>
      <c r="F32" s="3"/>
      <c r="G32" s="3"/>
      <c r="H32" s="3"/>
      <c r="I32" s="3"/>
    </row>
    <row r="33" spans="4:9">
      <c r="D33" s="3"/>
      <c r="E33" s="3"/>
      <c r="F33" s="3"/>
      <c r="G33" s="3"/>
      <c r="H33" s="3"/>
      <c r="I33" s="3"/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9715-49E4-4D55-835A-F1F4AB5E8DC4}">
  <dimension ref="A1:I25"/>
  <sheetViews>
    <sheetView workbookViewId="0">
      <selection activeCell="C11" sqref="C11:E11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8" s="1" customFormat="1" ht="26.1" customHeight="1">
      <c r="A1" s="26" t="s">
        <v>0</v>
      </c>
      <c r="B1" s="26"/>
      <c r="C1" s="5" t="s">
        <v>1</v>
      </c>
      <c r="D1" s="6" t="s">
        <v>2</v>
      </c>
      <c r="E1" s="6" t="s">
        <v>3</v>
      </c>
      <c r="F1" s="6" t="s">
        <v>4</v>
      </c>
    </row>
    <row r="2" spans="1:8">
      <c r="A2" s="7">
        <v>2025</v>
      </c>
      <c r="B2" s="8"/>
      <c r="C2" s="9" t="s">
        <v>5</v>
      </c>
      <c r="D2" s="10">
        <f>'SEP-25'!D25</f>
        <v>250008152</v>
      </c>
      <c r="E2" s="10">
        <f>'SEP-25'!E25</f>
        <v>168464330</v>
      </c>
      <c r="F2" s="10">
        <f>'SEP-25'!F25</f>
        <v>81543822</v>
      </c>
    </row>
    <row r="3" spans="1:8">
      <c r="A3" s="11"/>
      <c r="B3" s="12">
        <v>6</v>
      </c>
      <c r="C3" s="13" t="s">
        <v>54</v>
      </c>
      <c r="D3" s="14"/>
      <c r="E3" s="18">
        <v>400000</v>
      </c>
      <c r="F3" s="20">
        <f>F2+D3-E3</f>
        <v>81143822</v>
      </c>
      <c r="H3" s="21"/>
    </row>
    <row r="4" spans="1:8">
      <c r="A4" s="11"/>
      <c r="B4" s="12">
        <v>17</v>
      </c>
      <c r="C4" s="15" t="s">
        <v>17</v>
      </c>
      <c r="D4" s="14"/>
      <c r="E4" s="18">
        <v>10000</v>
      </c>
      <c r="F4" s="20">
        <f t="shared" ref="F4:F15" si="0">F3+D4-E4</f>
        <v>81133822</v>
      </c>
      <c r="H4" s="21"/>
    </row>
    <row r="5" spans="1:8">
      <c r="A5" s="11"/>
      <c r="B5" s="12">
        <v>19</v>
      </c>
      <c r="C5" s="15" t="s">
        <v>55</v>
      </c>
      <c r="D5" s="14"/>
      <c r="E5" s="18">
        <v>200000</v>
      </c>
      <c r="F5" s="20">
        <f t="shared" si="0"/>
        <v>80933822</v>
      </c>
      <c r="H5" s="21"/>
    </row>
    <row r="6" spans="1:8">
      <c r="A6" s="11"/>
      <c r="B6" s="12">
        <v>19</v>
      </c>
      <c r="C6" s="15" t="s">
        <v>59</v>
      </c>
      <c r="D6" s="14"/>
      <c r="E6" s="18">
        <v>200000</v>
      </c>
      <c r="F6" s="20">
        <f t="shared" si="0"/>
        <v>80733822</v>
      </c>
      <c r="H6" s="21"/>
    </row>
    <row r="7" spans="1:8">
      <c r="A7" s="11"/>
      <c r="B7" s="12">
        <v>19</v>
      </c>
      <c r="C7" s="15" t="s">
        <v>55</v>
      </c>
      <c r="D7" s="14"/>
      <c r="E7" s="18">
        <v>700000</v>
      </c>
      <c r="F7" s="20">
        <f t="shared" si="0"/>
        <v>80033822</v>
      </c>
      <c r="H7" s="21"/>
    </row>
    <row r="8" spans="1:8">
      <c r="A8" s="11"/>
      <c r="B8" s="12">
        <v>22</v>
      </c>
      <c r="C8" s="15" t="s">
        <v>56</v>
      </c>
      <c r="D8" s="14"/>
      <c r="E8" s="18">
        <f>6200*8000</f>
        <v>49600000</v>
      </c>
      <c r="F8" s="20">
        <f t="shared" si="0"/>
        <v>30433822</v>
      </c>
      <c r="H8" s="21"/>
    </row>
    <row r="9" spans="1:8">
      <c r="A9" s="11"/>
      <c r="B9" s="12">
        <v>22</v>
      </c>
      <c r="C9" s="15" t="s">
        <v>57</v>
      </c>
      <c r="D9" s="14"/>
      <c r="E9" s="18">
        <v>1200000</v>
      </c>
      <c r="F9" s="20">
        <f t="shared" si="0"/>
        <v>29233822</v>
      </c>
      <c r="H9" s="21"/>
    </row>
    <row r="10" spans="1:8">
      <c r="A10" s="11"/>
      <c r="B10" s="12">
        <v>22</v>
      </c>
      <c r="C10" s="15" t="s">
        <v>41</v>
      </c>
      <c r="D10" s="14"/>
      <c r="E10" s="18">
        <v>300000</v>
      </c>
      <c r="F10" s="20">
        <f t="shared" si="0"/>
        <v>28933822</v>
      </c>
      <c r="H10" s="21"/>
    </row>
    <row r="11" spans="1:8">
      <c r="A11" s="11"/>
      <c r="B11" s="12">
        <v>22</v>
      </c>
      <c r="C11" s="15" t="s">
        <v>58</v>
      </c>
      <c r="D11" s="14"/>
      <c r="E11" s="18">
        <v>700000</v>
      </c>
      <c r="F11" s="20">
        <f t="shared" si="0"/>
        <v>28233822</v>
      </c>
      <c r="H11" s="21"/>
    </row>
    <row r="12" spans="1:8">
      <c r="A12" s="11"/>
      <c r="B12" s="12">
        <v>25</v>
      </c>
      <c r="C12" s="16" t="s">
        <v>60</v>
      </c>
      <c r="D12" s="14"/>
      <c r="E12" s="14"/>
      <c r="F12" s="20">
        <f t="shared" si="0"/>
        <v>28233822</v>
      </c>
      <c r="H12" s="21"/>
    </row>
    <row r="13" spans="1:8">
      <c r="A13" s="11"/>
      <c r="B13" s="12"/>
      <c r="C13" s="16" t="s">
        <v>61</v>
      </c>
      <c r="D13" s="14"/>
      <c r="E13" s="14">
        <v>500000</v>
      </c>
      <c r="F13" s="20">
        <f t="shared" si="0"/>
        <v>27733822</v>
      </c>
      <c r="H13" s="21"/>
    </row>
    <row r="14" spans="1:8">
      <c r="A14" s="11"/>
      <c r="B14" s="12"/>
      <c r="C14" s="16" t="s">
        <v>62</v>
      </c>
      <c r="D14" s="14"/>
      <c r="E14" s="14">
        <f>2400000+500000</f>
        <v>2900000</v>
      </c>
      <c r="F14" s="20">
        <f t="shared" si="0"/>
        <v>24833822</v>
      </c>
      <c r="H14" s="21"/>
    </row>
    <row r="15" spans="1:8">
      <c r="A15" s="11"/>
      <c r="B15" s="12">
        <v>26</v>
      </c>
      <c r="C15" s="16" t="s">
        <v>38</v>
      </c>
      <c r="D15" s="14"/>
      <c r="E15" s="14">
        <v>2500</v>
      </c>
      <c r="F15" s="20">
        <f t="shared" si="0"/>
        <v>24831322</v>
      </c>
      <c r="H15" s="21"/>
    </row>
    <row r="16" spans="1:8">
      <c r="A16" s="17"/>
      <c r="B16" s="12"/>
      <c r="C16" s="13"/>
      <c r="D16" s="18"/>
      <c r="E16" s="18"/>
      <c r="F16" s="20"/>
    </row>
    <row r="17" spans="1:9">
      <c r="A17" s="17"/>
      <c r="B17" s="12"/>
      <c r="C17" s="19" t="s">
        <v>46</v>
      </c>
      <c r="D17" s="20">
        <f>SUM(D2:D16)</f>
        <v>250008152</v>
      </c>
      <c r="E17" s="20">
        <f>SUM(E2:E16)</f>
        <v>225176830</v>
      </c>
      <c r="F17" s="22">
        <f>D17-E17</f>
        <v>24831322</v>
      </c>
    </row>
    <row r="19" spans="1:9">
      <c r="D19" s="3"/>
      <c r="E19" s="3"/>
      <c r="F19" s="3"/>
      <c r="G19" s="3"/>
      <c r="H19" s="3"/>
      <c r="I19" s="3"/>
    </row>
    <row r="20" spans="1:9">
      <c r="D20" s="3"/>
      <c r="E20" s="3"/>
      <c r="F20" s="3"/>
      <c r="G20" s="3"/>
      <c r="H20" s="3"/>
      <c r="I20" s="3"/>
    </row>
    <row r="21" spans="1:9">
      <c r="D21" s="3"/>
      <c r="E21" s="3"/>
      <c r="F21" s="3"/>
      <c r="G21" s="3"/>
      <c r="H21" s="3"/>
      <c r="I21" s="3"/>
    </row>
    <row r="22" spans="1:9">
      <c r="D22" s="3"/>
      <c r="E22" s="3"/>
      <c r="F22" s="3"/>
      <c r="G22" s="3"/>
      <c r="H22" s="3"/>
      <c r="I22" s="3"/>
    </row>
    <row r="23" spans="1:9">
      <c r="D23" s="3"/>
      <c r="E23" s="3"/>
      <c r="F23" s="3"/>
      <c r="G23" s="3"/>
      <c r="H23" s="3"/>
      <c r="I23" s="3"/>
    </row>
    <row r="24" spans="1:9">
      <c r="D24" s="3"/>
      <c r="E24" s="3"/>
      <c r="F24" s="3"/>
      <c r="G24" s="3"/>
      <c r="H24" s="3"/>
      <c r="I24" s="3"/>
    </row>
    <row r="25" spans="1:9">
      <c r="D25" s="3"/>
      <c r="E25" s="3"/>
      <c r="F25" s="3"/>
      <c r="G25" s="3"/>
      <c r="H25" s="3"/>
      <c r="I25" s="3"/>
    </row>
  </sheetData>
  <mergeCells count="1">
    <mergeCell ref="A1:B1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D8C4-3DBC-47B7-96DF-16E35BDE5E9C}">
  <dimension ref="A1:I14"/>
  <sheetViews>
    <sheetView tabSelected="1" workbookViewId="0">
      <selection activeCell="F4" sqref="F4"/>
    </sheetView>
  </sheetViews>
  <sheetFormatPr defaultColWidth="11" defaultRowHeight="15.75"/>
  <cols>
    <col min="1" max="1" width="12.5" style="2" customWidth="1"/>
    <col min="2" max="2" width="3.875" customWidth="1"/>
    <col min="3" max="3" width="70.875" style="3" customWidth="1"/>
    <col min="4" max="4" width="18.875" style="4" customWidth="1"/>
    <col min="5" max="5" width="20.625" style="4" customWidth="1"/>
    <col min="6" max="6" width="18.875" style="4" customWidth="1"/>
    <col min="7" max="7" width="16.125" customWidth="1"/>
    <col min="8" max="8" width="16.375" customWidth="1"/>
    <col min="9" max="9" width="15.75" customWidth="1"/>
    <col min="10" max="10" width="14.125" customWidth="1"/>
  </cols>
  <sheetData>
    <row r="1" spans="1:9" s="1" customFormat="1" ht="26.1" customHeight="1">
      <c r="A1" s="26" t="s">
        <v>0</v>
      </c>
      <c r="B1" s="26"/>
      <c r="C1" s="5" t="s">
        <v>1</v>
      </c>
      <c r="D1" s="6" t="s">
        <v>2</v>
      </c>
      <c r="E1" s="6" t="s">
        <v>3</v>
      </c>
      <c r="F1" s="6" t="s">
        <v>4</v>
      </c>
    </row>
    <row r="2" spans="1:9">
      <c r="A2" s="7">
        <v>2025</v>
      </c>
      <c r="B2" s="8"/>
      <c r="C2" s="9" t="s">
        <v>5</v>
      </c>
      <c r="D2" s="10">
        <f>'OKT-25'!D17</f>
        <v>250008152</v>
      </c>
      <c r="E2" s="10">
        <f>'OKT-25'!E17</f>
        <v>225176830</v>
      </c>
      <c r="F2" s="10">
        <f>'OKT-25'!F17</f>
        <v>24831322</v>
      </c>
    </row>
    <row r="3" spans="1:9">
      <c r="A3" s="11"/>
      <c r="B3" s="12">
        <v>1</v>
      </c>
      <c r="C3" s="16" t="s">
        <v>63</v>
      </c>
      <c r="D3" s="14">
        <v>119000000</v>
      </c>
      <c r="E3" s="18"/>
      <c r="F3" s="20">
        <f>F2+D3-E3</f>
        <v>143831322</v>
      </c>
      <c r="H3" s="21"/>
    </row>
    <row r="4" spans="1:9">
      <c r="A4" s="11"/>
      <c r="B4" s="12">
        <v>1</v>
      </c>
      <c r="C4" s="15" t="s">
        <v>58</v>
      </c>
      <c r="D4" s="14"/>
      <c r="E4" s="18">
        <v>700000</v>
      </c>
      <c r="F4" s="20">
        <f>F3+D4-E4</f>
        <v>143131322</v>
      </c>
      <c r="H4" s="21"/>
    </row>
    <row r="5" spans="1:9">
      <c r="A5" s="17"/>
      <c r="B5" s="12"/>
      <c r="C5" s="13"/>
      <c r="D5" s="18"/>
      <c r="E5" s="18"/>
      <c r="F5" s="20"/>
    </row>
    <row r="6" spans="1:9">
      <c r="A6" s="17"/>
      <c r="B6" s="12"/>
      <c r="C6" s="19" t="s">
        <v>46</v>
      </c>
      <c r="D6" s="20">
        <f>SUM(D2:D5)</f>
        <v>369008152</v>
      </c>
      <c r="E6" s="20">
        <f>SUM(E2:E5)</f>
        <v>225876830</v>
      </c>
      <c r="F6" s="22">
        <f>D6-E6</f>
        <v>143131322</v>
      </c>
    </row>
    <row r="8" spans="1:9">
      <c r="D8" s="3"/>
      <c r="E8" s="3"/>
      <c r="F8" s="3"/>
      <c r="G8" s="3"/>
      <c r="H8" s="3"/>
      <c r="I8" s="3"/>
    </row>
    <row r="9" spans="1:9">
      <c r="D9" s="3"/>
      <c r="E9" s="3"/>
      <c r="F9" s="3"/>
      <c r="G9" s="3"/>
      <c r="H9" s="3"/>
      <c r="I9" s="3"/>
    </row>
    <row r="10" spans="1:9">
      <c r="D10" s="3"/>
      <c r="E10" s="3"/>
      <c r="F10" s="3"/>
      <c r="G10" s="3"/>
      <c r="H10" s="3"/>
      <c r="I10" s="3"/>
    </row>
    <row r="11" spans="1:9">
      <c r="D11" s="3"/>
      <c r="E11" s="3"/>
      <c r="F11" s="3"/>
      <c r="G11" s="3"/>
      <c r="H11" s="3"/>
      <c r="I11" s="3"/>
    </row>
    <row r="12" spans="1:9">
      <c r="D12" s="3"/>
      <c r="E12" s="3"/>
      <c r="F12" s="3"/>
      <c r="G12" s="3"/>
      <c r="H12" s="3"/>
      <c r="I12" s="3"/>
    </row>
    <row r="13" spans="1:9">
      <c r="D13" s="3"/>
      <c r="E13" s="3"/>
      <c r="F13" s="3"/>
      <c r="G13" s="3"/>
      <c r="H13" s="3"/>
      <c r="I13" s="3"/>
    </row>
    <row r="14" spans="1:9">
      <c r="D14" s="3"/>
      <c r="E14" s="3"/>
      <c r="F14" s="3"/>
      <c r="G14" s="3"/>
      <c r="H14" s="3"/>
      <c r="I14" s="3"/>
    </row>
  </sheetData>
  <mergeCells count="1">
    <mergeCell ref="A1:B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 25</vt:lpstr>
      <vt:lpstr>AGT 25</vt:lpstr>
      <vt:lpstr>SEP-25</vt:lpstr>
      <vt:lpstr>OKT-25</vt:lpstr>
      <vt:lpstr>NOV-25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Hafidh Adani</cp:lastModifiedBy>
  <dcterms:created xsi:type="dcterms:W3CDTF">2021-09-17T14:33:00Z</dcterms:created>
  <dcterms:modified xsi:type="dcterms:W3CDTF">2025-11-01T05:50:16Z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1033-4.6.0.7725</vt:lpwstr>
  </property>
</Properties>
</file>