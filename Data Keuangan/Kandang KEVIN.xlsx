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Laporan Ayam\Pembangunan\"/>
    </mc:Choice>
  </mc:AlternateContent>
  <xr:revisionPtr revIDLastSave="0" documentId="13_ncr:1_{45109FB3-933C-4C0C-B237-11705B3BB9A5}" xr6:coauthVersionLast="47" xr6:coauthVersionMax="47" xr10:uidLastSave="{00000000-0000-0000-0000-000000000000}"/>
  <bookViews>
    <workbookView xWindow="-120" yWindow="-120" windowWidth="29040" windowHeight="15990" activeTab="3" xr2:uid="{00000000-000D-0000-FFFF-FFFF00000000}"/>
  </bookViews>
  <sheets>
    <sheet name="AGT-1" sheetId="1" r:id="rId1"/>
    <sheet name="SEP-1" sheetId="3" r:id="rId2"/>
    <sheet name="OKT-1" sheetId="4" r:id="rId3"/>
    <sheet name="NOV-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F8" i="5"/>
  <c r="E7" i="5"/>
  <c r="D7" i="5"/>
  <c r="F7" i="5" s="1"/>
  <c r="D10" i="5"/>
  <c r="D16" i="5" s="1"/>
  <c r="F4" i="5"/>
  <c r="E10" i="5" l="1"/>
  <c r="D77" i="5"/>
  <c r="F10" i="5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E16" i="5" l="1"/>
  <c r="E77" i="5" s="1"/>
  <c r="F77" i="5" s="1"/>
  <c r="E239" i="4" l="1"/>
  <c r="E238" i="4"/>
  <c r="E237" i="4"/>
  <c r="E235" i="4"/>
  <c r="E234" i="4"/>
  <c r="E232" i="4"/>
  <c r="E228" i="4"/>
  <c r="E227" i="4"/>
  <c r="E226" i="4"/>
  <c r="E225" i="4"/>
  <c r="E224" i="4"/>
  <c r="E223" i="4"/>
  <c r="E222" i="4"/>
  <c r="E221" i="4"/>
  <c r="E218" i="4"/>
  <c r="E215" i="4"/>
  <c r="E214" i="4"/>
  <c r="E213" i="4"/>
  <c r="E211" i="4"/>
  <c r="E210" i="4"/>
  <c r="E208" i="4"/>
  <c r="E207" i="4"/>
  <c r="E206" i="4"/>
  <c r="E205" i="4"/>
  <c r="E204" i="4"/>
  <c r="E203" i="4"/>
  <c r="E200" i="4"/>
  <c r="E199" i="4"/>
  <c r="E197" i="4"/>
  <c r="H197" i="4" s="1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0" i="4"/>
  <c r="H211" i="4" l="1"/>
  <c r="H304" i="4"/>
  <c r="H194" i="4"/>
  <c r="I197" i="4" s="1"/>
  <c r="H232" i="4"/>
  <c r="H218" i="4"/>
  <c r="H239" i="4"/>
  <c r="H259" i="4"/>
  <c r="I304" i="4" l="1"/>
  <c r="I239" i="4"/>
  <c r="F5" i="4" l="1"/>
  <c r="E179" i="4" l="1"/>
  <c r="E178" i="4"/>
  <c r="E177" i="4"/>
  <c r="E176" i="4"/>
  <c r="E172" i="4"/>
  <c r="E171" i="4"/>
  <c r="E169" i="4"/>
  <c r="E168" i="4"/>
  <c r="E167" i="4"/>
  <c r="E166" i="4"/>
  <c r="E163" i="4"/>
  <c r="E159" i="4"/>
  <c r="E156" i="4"/>
  <c r="E155" i="4"/>
  <c r="E154" i="4"/>
  <c r="E151" i="4"/>
  <c r="E150" i="4"/>
  <c r="E149" i="4"/>
  <c r="E46" i="4"/>
  <c r="E54" i="4"/>
  <c r="E55" i="4"/>
  <c r="E56" i="4"/>
  <c r="E57" i="4"/>
  <c r="E58" i="4"/>
  <c r="E60" i="4"/>
  <c r="E61" i="4"/>
  <c r="E62" i="4"/>
  <c r="E63" i="4"/>
  <c r="E64" i="4"/>
  <c r="E67" i="4"/>
  <c r="E68" i="4"/>
  <c r="E69" i="4"/>
  <c r="E71" i="4"/>
  <c r="E72" i="4"/>
  <c r="E74" i="4"/>
  <c r="E75" i="4"/>
  <c r="E76" i="4"/>
  <c r="E77" i="4"/>
  <c r="E79" i="4"/>
  <c r="E84" i="4"/>
  <c r="E85" i="4"/>
  <c r="H146" i="4"/>
  <c r="E139" i="4"/>
  <c r="E138" i="4"/>
  <c r="H136" i="4"/>
  <c r="E133" i="4"/>
  <c r="E131" i="4"/>
  <c r="E127" i="4"/>
  <c r="E130" i="4"/>
  <c r="E128" i="4"/>
  <c r="E125" i="4"/>
  <c r="E124" i="4"/>
  <c r="E123" i="4"/>
  <c r="E122" i="4"/>
  <c r="E120" i="4"/>
  <c r="E119" i="4"/>
  <c r="E132" i="4"/>
  <c r="E129" i="4"/>
  <c r="E126" i="4"/>
  <c r="E121" i="4"/>
  <c r="E118" i="4"/>
  <c r="H180" i="4" l="1"/>
  <c r="H160" i="4"/>
  <c r="H139" i="4"/>
  <c r="H133" i="4"/>
  <c r="I146" i="4" l="1"/>
  <c r="E115" i="4"/>
  <c r="E114" i="4"/>
  <c r="E113" i="4"/>
  <c r="E112" i="4"/>
  <c r="E109" i="4"/>
  <c r="E108" i="4"/>
  <c r="E107" i="4"/>
  <c r="E106" i="4"/>
  <c r="E103" i="4"/>
  <c r="E102" i="4"/>
  <c r="E101" i="4"/>
  <c r="E99" i="4"/>
  <c r="E98" i="4"/>
  <c r="E111" i="4"/>
  <c r="E110" i="4"/>
  <c r="E105" i="4"/>
  <c r="E104" i="4"/>
  <c r="E100" i="4"/>
  <c r="E97" i="4"/>
  <c r="E93" i="4"/>
  <c r="H95" i="4" s="1"/>
  <c r="H116" i="4" l="1"/>
  <c r="H112" i="4"/>
  <c r="E91" i="4"/>
  <c r="E88" i="4"/>
  <c r="I116" i="4" l="1"/>
  <c r="H91" i="4"/>
  <c r="H72" i="4"/>
  <c r="H86" i="4"/>
  <c r="H58" i="4"/>
  <c r="E39" i="4"/>
  <c r="E36" i="4"/>
  <c r="E35" i="4"/>
  <c r="E32" i="4"/>
  <c r="E33" i="4"/>
  <c r="E31" i="4"/>
  <c r="E30" i="4"/>
  <c r="E24" i="4"/>
  <c r="E25" i="4"/>
  <c r="E26" i="4"/>
  <c r="E27" i="4"/>
  <c r="E28" i="4"/>
  <c r="E29" i="4"/>
  <c r="E20" i="4"/>
  <c r="E21" i="4"/>
  <c r="E22" i="4"/>
  <c r="E18" i="4"/>
  <c r="E23" i="4"/>
  <c r="E19" i="4"/>
  <c r="E14" i="4"/>
  <c r="E12" i="4"/>
  <c r="E10" i="4"/>
  <c r="F8" i="4"/>
  <c r="E8" i="4"/>
  <c r="D8" i="4"/>
  <c r="F229" i="3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I244" i="3"/>
  <c r="H243" i="3"/>
  <c r="H242" i="3"/>
  <c r="E237" i="3"/>
  <c r="E232" i="3"/>
  <c r="E231" i="3"/>
  <c r="E230" i="3"/>
  <c r="E229" i="3"/>
  <c r="E41" i="4" l="1"/>
  <c r="D41" i="4"/>
  <c r="I91" i="4"/>
  <c r="H39" i="4"/>
  <c r="H16" i="4"/>
  <c r="H33" i="4"/>
  <c r="F9" i="4"/>
  <c r="F10" i="4" s="1"/>
  <c r="H237" i="3"/>
  <c r="D44" i="4" l="1"/>
  <c r="D240" i="4" s="1"/>
  <c r="E44" i="4"/>
  <c r="E240" i="4" s="1"/>
  <c r="I39" i="4"/>
  <c r="I40" i="4" s="1"/>
  <c r="F11" i="4"/>
  <c r="F12" i="4" s="1"/>
  <c r="F13" i="4" s="1"/>
  <c r="F14" i="4" s="1"/>
  <c r="F15" i="4" s="1"/>
  <c r="F16" i="4" l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J228" i="3" l="1"/>
  <c r="J182" i="3"/>
  <c r="J169" i="3"/>
  <c r="H112" i="1"/>
  <c r="H110" i="1"/>
  <c r="H14" i="1"/>
  <c r="H111" i="1"/>
  <c r="H93" i="1"/>
  <c r="E226" i="3"/>
  <c r="E223" i="3"/>
  <c r="E221" i="3"/>
  <c r="E220" i="3"/>
  <c r="E219" i="3"/>
  <c r="E217" i="3"/>
  <c r="E216" i="3"/>
  <c r="E215" i="3"/>
  <c r="E214" i="3"/>
  <c r="E213" i="3"/>
  <c r="E212" i="3"/>
  <c r="E211" i="3"/>
  <c r="E225" i="3"/>
  <c r="E224" i="3"/>
  <c r="E222" i="3"/>
  <c r="E218" i="3"/>
  <c r="E208" i="3"/>
  <c r="E207" i="3"/>
  <c r="E206" i="3"/>
  <c r="E205" i="3"/>
  <c r="E204" i="3"/>
  <c r="E192" i="3"/>
  <c r="E191" i="3"/>
  <c r="E190" i="3"/>
  <c r="E189" i="3"/>
  <c r="H211" i="3" l="1"/>
  <c r="H227" i="3" s="1"/>
  <c r="H197" i="3"/>
  <c r="H184" i="3"/>
  <c r="H200" i="3" l="1"/>
  <c r="H181" i="3" l="1"/>
  <c r="H180" i="3"/>
  <c r="E180" i="3"/>
  <c r="H179" i="3" s="1"/>
  <c r="E179" i="3"/>
  <c r="E178" i="3"/>
  <c r="E176" i="3"/>
  <c r="E175" i="3"/>
  <c r="H155" i="3"/>
  <c r="E168" i="3"/>
  <c r="H154" i="3" s="1"/>
  <c r="E162" i="3"/>
  <c r="E157" i="3"/>
  <c r="E154" i="3"/>
  <c r="E153" i="3"/>
  <c r="E155" i="3"/>
  <c r="E156" i="3"/>
  <c r="E158" i="3"/>
  <c r="E159" i="3"/>
  <c r="E160" i="3"/>
  <c r="E161" i="3"/>
  <c r="E163" i="3"/>
  <c r="E164" i="3"/>
  <c r="E165" i="3"/>
  <c r="E166" i="3"/>
  <c r="E167" i="3"/>
  <c r="E152" i="3"/>
  <c r="E150" i="3"/>
  <c r="E149" i="3"/>
  <c r="E148" i="3"/>
  <c r="E146" i="3"/>
  <c r="E145" i="3"/>
  <c r="E143" i="3"/>
  <c r="E142" i="3"/>
  <c r="E140" i="3"/>
  <c r="E139" i="3"/>
  <c r="E133" i="3"/>
  <c r="H98" i="3" s="1"/>
  <c r="E126" i="3"/>
  <c r="E130" i="3"/>
  <c r="E127" i="3"/>
  <c r="E131" i="3"/>
  <c r="E128" i="3"/>
  <c r="E124" i="3"/>
  <c r="E121" i="3"/>
  <c r="E122" i="3"/>
  <c r="E119" i="3"/>
  <c r="E118" i="3"/>
  <c r="E132" i="3"/>
  <c r="E129" i="3"/>
  <c r="E125" i="3"/>
  <c r="E123" i="3"/>
  <c r="E120" i="3"/>
  <c r="E117" i="3"/>
  <c r="H93" i="3"/>
  <c r="E113" i="3"/>
  <c r="H92" i="3" s="1"/>
  <c r="E111" i="3"/>
  <c r="E110" i="3"/>
  <c r="E109" i="3"/>
  <c r="E107" i="3"/>
  <c r="E106" i="3"/>
  <c r="E104" i="3"/>
  <c r="E103" i="3"/>
  <c r="E102" i="3"/>
  <c r="E101" i="3"/>
  <c r="E99" i="3"/>
  <c r="E98" i="3"/>
  <c r="E97" i="3"/>
  <c r="E95" i="3"/>
  <c r="E94" i="3"/>
  <c r="E93" i="3"/>
  <c r="E91" i="3"/>
  <c r="H86" i="3" s="1"/>
  <c r="E89" i="3"/>
  <c r="E88" i="3"/>
  <c r="E87" i="3"/>
  <c r="E85" i="3"/>
  <c r="H84" i="3" s="1"/>
  <c r="D7" i="3"/>
  <c r="H178" i="3" l="1"/>
  <c r="H175" i="3"/>
  <c r="H209" i="3" s="1"/>
  <c r="H139" i="3"/>
  <c r="H148" i="3"/>
  <c r="H145" i="3"/>
  <c r="H152" i="3"/>
  <c r="H142" i="3"/>
  <c r="H90" i="3"/>
  <c r="H96" i="3"/>
  <c r="H85" i="3"/>
  <c r="H91" i="3"/>
  <c r="H88" i="3"/>
  <c r="H87" i="3"/>
  <c r="H89" i="3"/>
  <c r="I94" i="3"/>
  <c r="E79" i="3"/>
  <c r="H64" i="3" s="1"/>
  <c r="E76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7" i="3"/>
  <c r="E62" i="3"/>
  <c r="E60" i="3"/>
  <c r="H60" i="3" s="1"/>
  <c r="E58" i="3"/>
  <c r="E57" i="3"/>
  <c r="E56" i="3"/>
  <c r="E54" i="3"/>
  <c r="E53" i="3"/>
  <c r="E52" i="3"/>
  <c r="E45" i="3"/>
  <c r="E44" i="3"/>
  <c r="E43" i="3"/>
  <c r="E42" i="3"/>
  <c r="E41" i="3"/>
  <c r="E40" i="3"/>
  <c r="E39" i="3"/>
  <c r="E38" i="3"/>
  <c r="E37" i="3"/>
  <c r="E36" i="3"/>
  <c r="E35" i="3"/>
  <c r="E33" i="3"/>
  <c r="E32" i="3"/>
  <c r="E31" i="3"/>
  <c r="E30" i="3"/>
  <c r="E29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E14" i="3"/>
  <c r="E13" i="3"/>
  <c r="E12" i="3"/>
  <c r="E10" i="3"/>
  <c r="E9" i="3"/>
  <c r="F7" i="3"/>
  <c r="E7" i="3"/>
  <c r="F4" i="3"/>
  <c r="H23" i="3" l="1"/>
  <c r="E47" i="3"/>
  <c r="H157" i="3"/>
  <c r="I96" i="3"/>
  <c r="H94" i="3"/>
  <c r="H56" i="3"/>
  <c r="H52" i="3"/>
  <c r="F8" i="3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H62" i="3"/>
  <c r="H16" i="3"/>
  <c r="H14" i="3"/>
  <c r="H15" i="3"/>
  <c r="H12" i="3"/>
  <c r="D47" i="3"/>
  <c r="D50" i="3" s="1"/>
  <c r="D80" i="3" s="1"/>
  <c r="E50" i="3"/>
  <c r="E80" i="3" s="1"/>
  <c r="E83" i="3" s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E14" i="1"/>
  <c r="E15" i="1"/>
  <c r="E16" i="1"/>
  <c r="E18" i="1"/>
  <c r="E19" i="1"/>
  <c r="E21" i="1"/>
  <c r="E23" i="1"/>
  <c r="E24" i="1"/>
  <c r="E25" i="1"/>
  <c r="E137" i="1"/>
  <c r="E136" i="1"/>
  <c r="E134" i="1"/>
  <c r="E130" i="1"/>
  <c r="E127" i="1"/>
  <c r="E126" i="1"/>
  <c r="E128" i="1"/>
  <c r="E129" i="1"/>
  <c r="E131" i="1"/>
  <c r="E132" i="1"/>
  <c r="E133" i="1"/>
  <c r="E135" i="1"/>
  <c r="E125" i="1"/>
  <c r="E122" i="1"/>
  <c r="E120" i="1"/>
  <c r="E119" i="1"/>
  <c r="E118" i="1"/>
  <c r="E116" i="1"/>
  <c r="E115" i="1"/>
  <c r="E114" i="1"/>
  <c r="E112" i="1"/>
  <c r="E111" i="1"/>
  <c r="E108" i="1"/>
  <c r="E107" i="1"/>
  <c r="E106" i="1"/>
  <c r="E102" i="1"/>
  <c r="E100" i="1"/>
  <c r="E99" i="1"/>
  <c r="I52" i="3" l="1"/>
  <c r="I54" i="3" s="1"/>
  <c r="D83" i="3"/>
  <c r="D134" i="3" s="1"/>
  <c r="F80" i="3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E134" i="3"/>
  <c r="H18" i="3"/>
  <c r="F47" i="3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E137" i="3" l="1"/>
  <c r="E170" i="3" s="1"/>
  <c r="D137" i="3"/>
  <c r="D170" i="3" s="1"/>
  <c r="D173" i="3" s="1"/>
  <c r="F134" i="3"/>
  <c r="D49" i="1"/>
  <c r="D53" i="1" s="1"/>
  <c r="D93" i="1" s="1"/>
  <c r="D97" i="1" s="1"/>
  <c r="D138" i="1" s="1"/>
  <c r="E92" i="1"/>
  <c r="E89" i="1"/>
  <c r="E88" i="1"/>
  <c r="E86" i="1"/>
  <c r="E84" i="1"/>
  <c r="E82" i="1"/>
  <c r="E81" i="1"/>
  <c r="E80" i="1"/>
  <c r="E79" i="1"/>
  <c r="E78" i="1"/>
  <c r="E77" i="1"/>
  <c r="E76" i="1"/>
  <c r="E75" i="1"/>
  <c r="E74" i="1"/>
  <c r="E73" i="1"/>
  <c r="E72" i="1"/>
  <c r="E31" i="1"/>
  <c r="E30" i="1"/>
  <c r="E28" i="1"/>
  <c r="E27" i="1"/>
  <c r="E37" i="1"/>
  <c r="E69" i="1"/>
  <c r="E68" i="1"/>
  <c r="E67" i="1"/>
  <c r="E65" i="1"/>
  <c r="E63" i="1"/>
  <c r="E62" i="1"/>
  <c r="E61" i="1"/>
  <c r="E60" i="1"/>
  <c r="E58" i="1"/>
  <c r="E57" i="1"/>
  <c r="E56" i="1"/>
  <c r="E55" i="1"/>
  <c r="E48" i="1"/>
  <c r="E47" i="1"/>
  <c r="E46" i="1"/>
  <c r="E45" i="1"/>
  <c r="E44" i="1"/>
  <c r="E43" i="1"/>
  <c r="E42" i="1"/>
  <c r="E41" i="1"/>
  <c r="E40" i="1"/>
  <c r="E39" i="1"/>
  <c r="E38" i="1"/>
  <c r="E34" i="1"/>
  <c r="E33" i="1"/>
  <c r="E32" i="1"/>
  <c r="E29" i="1"/>
  <c r="E35" i="1"/>
  <c r="E26" i="1"/>
  <c r="E173" i="3" l="1"/>
  <c r="E243" i="3" s="1"/>
  <c r="F170" i="3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D243" i="3"/>
  <c r="F137" i="3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E49" i="1"/>
  <c r="E53" i="1" s="1"/>
  <c r="E93" i="1" s="1"/>
  <c r="E97" i="1" s="1"/>
  <c r="E138" i="1" s="1"/>
  <c r="F138" i="1" s="1"/>
  <c r="F5" i="1"/>
  <c r="F243" i="3" l="1"/>
  <c r="F49" i="1"/>
  <c r="F53" i="1" s="1"/>
  <c r="F54" i="1" s="1"/>
  <c r="F26" i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93" i="1"/>
  <c r="F97" i="1" l="1"/>
  <c r="F55" i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8" i="1" l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41" i="4" l="1"/>
  <c r="F44" i="4" l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H174" i="4" l="1"/>
  <c r="I180" i="4" s="1"/>
  <c r="F240" i="4"/>
</calcChain>
</file>

<file path=xl/sharedStrings.xml><?xml version="1.0" encoding="utf-8"?>
<sst xmlns="http://schemas.openxmlformats.org/spreadsheetml/2006/main" count="675" uniqueCount="475">
  <si>
    <t>TGL</t>
  </si>
  <si>
    <t>KETERANGAN</t>
  </si>
  <si>
    <t>MASUK</t>
  </si>
  <si>
    <t>KELUAR</t>
  </si>
  <si>
    <t>SALDO</t>
  </si>
  <si>
    <t>LIST SETORAN TUNAI DAN TRANSFER SELAMA PEMBANGUNAN :</t>
  </si>
  <si>
    <t>AGUSTUS</t>
  </si>
  <si>
    <t>Transfer Biaya AJB Tanah di Jonggol</t>
  </si>
  <si>
    <r>
      <t xml:space="preserve">DP Biaya Pembangunan Kandang KEVIN yang </t>
    </r>
    <r>
      <rPr>
        <b/>
        <sz val="12"/>
        <color theme="1"/>
        <rFont val="Calibri"/>
        <family val="2"/>
        <scheme val="minor"/>
      </rPr>
      <t>PERTAMA</t>
    </r>
  </si>
  <si>
    <t>TOTAL TRANSFER &amp; SETORAN TUNAI PEMBANGUNAN KANDANG KEVIN</t>
  </si>
  <si>
    <t>LIST PEMBELIAN DAN PEMBANGUNAN KANDANG :</t>
  </si>
  <si>
    <t>Pembayaran biaya AJB Tanah di Jonggol</t>
  </si>
  <si>
    <t>Pembayaran biaya perijinan lingkungan</t>
  </si>
  <si>
    <t>Tambahan Biaya Ijin Lingkungan (Tambahan ke penduduk sekitar)</t>
  </si>
  <si>
    <t>SALDO DANA PEMBANGUNAN KANDANG KEVIN FARM</t>
  </si>
  <si>
    <t>Pembelian kopi &amp; air untuk tukang buka lahan</t>
  </si>
  <si>
    <t>Pemberian upah tukang untuk buka lahan</t>
  </si>
  <si>
    <r>
      <t>Pembayaran pembelian material (</t>
    </r>
    <r>
      <rPr>
        <b/>
        <sz val="11"/>
        <color theme="1"/>
        <rFont val="Calibri"/>
        <family val="2"/>
        <scheme val="minor"/>
      </rPr>
      <t>BON 01#</t>
    </r>
    <r>
      <rPr>
        <sz val="11"/>
        <color theme="1"/>
        <rFont val="Calibri"/>
        <family val="2"/>
        <scheme val="minor"/>
      </rPr>
      <t>) :</t>
    </r>
  </si>
  <si>
    <t># 33 Kayu 10x10 @50.000</t>
  </si>
  <si>
    <t># 117 Kayu 5x10 @23.000</t>
  </si>
  <si>
    <t># 43 Kayu 6x12 @60.000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</si>
  <si>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02#</t>
    </r>
    <r>
      <rPr>
        <sz val="11"/>
        <color theme="1"/>
        <rFont val="Calibri"/>
        <family val="2"/>
        <scheme val="minor"/>
      </rPr>
      <t>) :</t>
    </r>
  </si>
  <si>
    <t># 10 mobil batu @320.000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</si>
  <si>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03#</t>
    </r>
    <r>
      <rPr>
        <sz val="11"/>
        <color theme="1"/>
        <rFont val="Calibri"/>
        <family val="2"/>
        <scheme val="minor"/>
      </rPr>
      <t>) :</t>
    </r>
  </si>
  <si>
    <t># 150 bambu @15.000</t>
  </si>
  <si>
    <r>
      <t>Pembayaran tukang dalam pembangunan kandang @150.000 (</t>
    </r>
    <r>
      <rPr>
        <b/>
        <sz val="11"/>
        <color theme="1"/>
        <rFont val="Calibri"/>
        <family val="2"/>
        <scheme val="minor"/>
      </rPr>
      <t>PEKAN #1</t>
    </r>
    <r>
      <rPr>
        <sz val="11"/>
        <color theme="1"/>
        <rFont val="Calibri"/>
        <family val="2"/>
        <scheme val="minor"/>
      </rPr>
      <t>) :</t>
    </r>
  </si>
  <si>
    <t># Miyah 5,5 hari</t>
  </si>
  <si>
    <t># RT 1 hari</t>
  </si>
  <si>
    <t># Eka 5,5 hari</t>
  </si>
  <si>
    <t># Eti 1 hari</t>
  </si>
  <si>
    <t># Oyib 5,5 hari</t>
  </si>
  <si>
    <t># Ansar 5,5 hari</t>
  </si>
  <si>
    <t># Iding 4,5 hari</t>
  </si>
  <si>
    <t># Ajo 5,5 hari</t>
  </si>
  <si>
    <t># Edi 5,5 hari</t>
  </si>
  <si>
    <t># Beni 4,5 hari</t>
  </si>
  <si>
    <t># Bodong 4,5 hari</t>
  </si>
  <si>
    <t># Abluk 2,5 hari</t>
  </si>
  <si>
    <t># Ubung 1 hari</t>
  </si>
  <si>
    <r>
      <t>Pembayaran pembelian material (</t>
    </r>
    <r>
      <rPr>
        <b/>
        <sz val="11"/>
        <color theme="1"/>
        <rFont val="Calibri"/>
        <family val="2"/>
        <scheme val="minor"/>
      </rPr>
      <t>BON 04#</t>
    </r>
    <r>
      <rPr>
        <sz val="11"/>
        <color theme="1"/>
        <rFont val="Calibri"/>
        <family val="2"/>
        <scheme val="minor"/>
      </rPr>
      <t>) :</t>
    </r>
  </si>
  <si>
    <r>
      <t>Pembayaran pembelian material (</t>
    </r>
    <r>
      <rPr>
        <b/>
        <sz val="11"/>
        <color theme="1"/>
        <rFont val="Calibri"/>
        <family val="2"/>
        <scheme val="minor"/>
      </rPr>
      <t>BON 05#</t>
    </r>
    <r>
      <rPr>
        <sz val="11"/>
        <color theme="1"/>
        <rFont val="Calibri"/>
        <family val="2"/>
        <scheme val="minor"/>
      </rPr>
      <t>) :</t>
    </r>
  </si>
  <si>
    <r>
      <t>Pembayaran pembelian material (</t>
    </r>
    <r>
      <rPr>
        <b/>
        <sz val="11"/>
        <color theme="1"/>
        <rFont val="Calibri"/>
        <family val="2"/>
        <scheme val="minor"/>
      </rPr>
      <t>BON 06#</t>
    </r>
    <r>
      <rPr>
        <sz val="11"/>
        <color theme="1"/>
        <rFont val="Calibri"/>
        <family val="2"/>
        <scheme val="minor"/>
      </rPr>
      <t>) :</t>
    </r>
  </si>
  <si>
    <r>
      <t>Pembayaran pembelian material (</t>
    </r>
    <r>
      <rPr>
        <b/>
        <sz val="11"/>
        <color theme="1"/>
        <rFont val="Calibri"/>
        <family val="2"/>
        <scheme val="minor"/>
      </rPr>
      <t>BON 07#</t>
    </r>
    <r>
      <rPr>
        <sz val="11"/>
        <color theme="1"/>
        <rFont val="Calibri"/>
        <family val="2"/>
        <scheme val="minor"/>
      </rPr>
      <t>) :</t>
    </r>
  </si>
  <si>
    <r>
      <t>Pembayaran pembelian material (</t>
    </r>
    <r>
      <rPr>
        <b/>
        <sz val="11"/>
        <color theme="1"/>
        <rFont val="Calibri"/>
        <family val="2"/>
        <scheme val="minor"/>
      </rPr>
      <t>BON 08#</t>
    </r>
    <r>
      <rPr>
        <sz val="11"/>
        <color theme="1"/>
        <rFont val="Calibri"/>
        <family val="2"/>
        <scheme val="minor"/>
      </rPr>
      <t>) :</t>
    </r>
  </si>
  <si>
    <t># 3 mobil pasir @350.000</t>
  </si>
  <si>
    <t># 35 besi 3/8 @55.000</t>
  </si>
  <si>
    <t># 1 roda troli @550.000</t>
  </si>
  <si>
    <t># 7 ember oren besar @15.000</t>
  </si>
  <si>
    <t># 10 semen 50 kg @56.000</t>
  </si>
  <si>
    <t># 1 kg paku 5 @20.000</t>
  </si>
  <si>
    <t># 15 benang @5.000</t>
  </si>
  <si>
    <t># 3 benrat @10.000</t>
  </si>
  <si>
    <t># 1 sendok semen @15.000</t>
  </si>
  <si>
    <t># 10 m slang timbang @3.000</t>
  </si>
  <si>
    <t># 2 kg paku 7 @20.000</t>
  </si>
  <si>
    <t># 9 besi 3/8 @55.000</t>
  </si>
  <si>
    <t># 4 ceker ayam 40x40 @65.000</t>
  </si>
  <si>
    <t># 2 mobil pasir @350.000</t>
  </si>
  <si>
    <t># 5 mobil pasir @350.000</t>
  </si>
  <si>
    <t># 1 besi 3/8 @55.000</t>
  </si>
  <si>
    <t># 9 sarung tangan @5.000</t>
  </si>
  <si>
    <t># 2 batu asahan @15.000</t>
  </si>
  <si>
    <t>Biaya admin</t>
  </si>
  <si>
    <t># 60 hong 30 @75.000</t>
  </si>
  <si>
    <t># 10 hong 30 @75.000</t>
  </si>
  <si>
    <r>
      <t>Pembayaran tukang dalam pembangunan kandang @150.000 (</t>
    </r>
    <r>
      <rPr>
        <b/>
        <sz val="11"/>
        <color theme="1"/>
        <rFont val="Calibri"/>
        <family val="2"/>
        <scheme val="minor"/>
      </rPr>
      <t>PEKAN #2</t>
    </r>
    <r>
      <rPr>
        <sz val="11"/>
        <color theme="1"/>
        <rFont val="Calibri"/>
        <family val="2"/>
        <scheme val="minor"/>
      </rPr>
      <t>) :</t>
    </r>
  </si>
  <si>
    <t># Miyah 5 hari</t>
  </si>
  <si>
    <t># Eka 5 hari</t>
  </si>
  <si>
    <t># Oyib 5 hari</t>
  </si>
  <si>
    <t># Ajo 5 hari</t>
  </si>
  <si>
    <t># Edi 5 hari</t>
  </si>
  <si>
    <t># RT 5 hari</t>
  </si>
  <si>
    <t># Iding 5 hari</t>
  </si>
  <si>
    <t># Beni 5 hari</t>
  </si>
  <si>
    <t># Bodong 5 hari</t>
  </si>
  <si>
    <t># Abluk 3 hari</t>
  </si>
  <si>
    <t># Ubung 5 hari</t>
  </si>
  <si>
    <r>
      <t>Pembayaran pembelian material (</t>
    </r>
    <r>
      <rPr>
        <b/>
        <sz val="11"/>
        <color theme="1"/>
        <rFont val="Calibri"/>
        <family val="2"/>
        <scheme val="minor"/>
      </rPr>
      <t>BON 09#</t>
    </r>
    <r>
      <rPr>
        <sz val="11"/>
        <color theme="1"/>
        <rFont val="Calibri"/>
        <family val="2"/>
        <scheme val="minor"/>
      </rPr>
      <t>) :</t>
    </r>
  </si>
  <si>
    <t># 174 Kayu 5x10 @23.000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</si>
  <si>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10#</t>
    </r>
    <r>
      <rPr>
        <sz val="11"/>
        <color theme="1"/>
        <rFont val="Calibri"/>
        <family val="2"/>
        <scheme val="minor"/>
      </rPr>
      <t>) :</t>
    </r>
  </si>
  <si>
    <t># 149 Kayu 5x10 @23.000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</si>
  <si>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11#</t>
    </r>
    <r>
      <rPr>
        <sz val="11"/>
        <color theme="1"/>
        <rFont val="Calibri"/>
        <family val="2"/>
        <scheme val="minor"/>
      </rPr>
      <t>) :</t>
    </r>
  </si>
  <si>
    <t># 89 Kayu 5x10 @23.000</t>
  </si>
  <si>
    <t># 57 Kayu 10x10 @50.000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</si>
  <si>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12#</t>
    </r>
    <r>
      <rPr>
        <sz val="11"/>
        <color theme="1"/>
        <rFont val="Calibri"/>
        <family val="2"/>
        <scheme val="minor"/>
      </rPr>
      <t>) :</t>
    </r>
  </si>
  <si>
    <t xml:space="preserve"># 1 dus paku 10 </t>
  </si>
  <si>
    <t>Pembelian kopi &amp; air</t>
  </si>
  <si>
    <t>SALDO SEBELUMNYA</t>
  </si>
  <si>
    <t>TOTAL</t>
  </si>
  <si>
    <t>Pembelian seng bekas untuk KEVIN Farm :</t>
  </si>
  <si>
    <t># 180 kg Reng Bajaringan 6 m @13.000</t>
  </si>
  <si>
    <t># 150 buah Seng Bagus @28.000</t>
  </si>
  <si>
    <t># 100 buah Seng Jelek @23.000</t>
  </si>
  <si>
    <t># Biaya Ongkir</t>
  </si>
  <si>
    <t># 282 kg Canal Bajaringan 2-6 m @13.000 (Diskon Rp.6.000)</t>
  </si>
  <si>
    <t># 10 Kayu 10x10 @50.000</t>
  </si>
  <si>
    <t># 100 Kayu 5x10 @23.000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</si>
  <si>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13#</t>
    </r>
    <r>
      <rPr>
        <sz val="11"/>
        <color theme="1"/>
        <rFont val="Calibri"/>
        <family val="2"/>
        <scheme val="minor"/>
      </rPr>
      <t>) :</t>
    </r>
  </si>
  <si>
    <t># 100 Bambu @150.000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</si>
  <si>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14#</t>
    </r>
    <r>
      <rPr>
        <sz val="11"/>
        <color theme="1"/>
        <rFont val="Calibri"/>
        <family val="2"/>
        <scheme val="minor"/>
      </rPr>
      <t>) :</t>
    </r>
  </si>
  <si>
    <t># 2 mobil batu @320.000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</si>
  <si>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15#</t>
    </r>
    <r>
      <rPr>
        <sz val="11"/>
        <color theme="1"/>
        <rFont val="Calibri"/>
        <family val="2"/>
        <scheme val="minor"/>
      </rPr>
      <t>) :</t>
    </r>
  </si>
  <si>
    <t># 30 Kayu 2x20 @23.000</t>
  </si>
  <si>
    <t># 8 Kayu 4x6 @23.000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</si>
  <si>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16#</t>
    </r>
    <r>
      <rPr>
        <sz val="11"/>
        <color theme="1"/>
        <rFont val="Calibri"/>
        <family val="2"/>
        <scheme val="minor"/>
      </rPr>
      <t>) :</t>
    </r>
  </si>
  <si>
    <t># 36 Kayu 4x6 @23.000</t>
  </si>
  <si>
    <t># 25 Kayu 5x10 @23.000</t>
  </si>
  <si>
    <t># 29 Kayu 2x20 @23.000</t>
  </si>
  <si>
    <t># 6 mobil batu @320.000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</si>
  <si>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17#</t>
    </r>
    <r>
      <rPr>
        <sz val="11"/>
        <color theme="1"/>
        <rFont val="Calibri"/>
        <family val="2"/>
        <scheme val="minor"/>
      </rPr>
      <t>) :</t>
    </r>
  </si>
  <si>
    <r>
      <t>Pembayaran tukang dalam pembangunan kandang @150.000 (</t>
    </r>
    <r>
      <rPr>
        <b/>
        <sz val="11"/>
        <color theme="1"/>
        <rFont val="Calibri"/>
        <family val="2"/>
        <scheme val="minor"/>
      </rPr>
      <t>PEKAN #3</t>
    </r>
    <r>
      <rPr>
        <sz val="11"/>
        <color theme="1"/>
        <rFont val="Calibri"/>
        <family val="2"/>
        <scheme val="minor"/>
      </rPr>
      <t>) :</t>
    </r>
  </si>
  <si>
    <t># Asir 7 hari</t>
  </si>
  <si>
    <t># Anip 3 hari</t>
  </si>
  <si>
    <t># Miyah 8 hari</t>
  </si>
  <si>
    <t># RT 9 hari</t>
  </si>
  <si>
    <t># Ubung 7 hari</t>
  </si>
  <si>
    <t># Beni 8 hari</t>
  </si>
  <si>
    <t># Oyib 8 hari</t>
  </si>
  <si>
    <t># Iding 7 hari</t>
  </si>
  <si>
    <t># Eka 8 hari</t>
  </si>
  <si>
    <t># Edi 8 hari</t>
  </si>
  <si>
    <t># Bodong 8 hari</t>
  </si>
  <si>
    <t># Ajo 9 hari</t>
  </si>
  <si>
    <t># Abluk 8 hari</t>
  </si>
  <si>
    <r>
      <t>Pembayaran pembelian material (</t>
    </r>
    <r>
      <rPr>
        <b/>
        <sz val="11"/>
        <color theme="1"/>
        <rFont val="Calibri"/>
        <family val="2"/>
        <scheme val="minor"/>
      </rPr>
      <t>BON 18#</t>
    </r>
    <r>
      <rPr>
        <sz val="11"/>
        <color theme="1"/>
        <rFont val="Calibri"/>
        <family val="2"/>
        <scheme val="minor"/>
      </rPr>
      <t>) :</t>
    </r>
  </si>
  <si>
    <t>SEPTEMBER</t>
  </si>
  <si>
    <r>
      <t>Pembayaran pembelian material (</t>
    </r>
    <r>
      <rPr>
        <b/>
        <sz val="11"/>
        <color theme="1"/>
        <rFont val="Calibri"/>
        <family val="2"/>
        <scheme val="minor"/>
      </rPr>
      <t>BON 19#</t>
    </r>
    <r>
      <rPr>
        <sz val="11"/>
        <color theme="1"/>
        <rFont val="Calibri"/>
        <family val="2"/>
        <scheme val="minor"/>
      </rPr>
      <t>) :</t>
    </r>
  </si>
  <si>
    <t># 131 Kayu 5x10 @23.000</t>
  </si>
  <si>
    <t># 54 Kayu 2x20 @23.000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</si>
  <si>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20#</t>
    </r>
    <r>
      <rPr>
        <sz val="11"/>
        <color theme="1"/>
        <rFont val="Calibri"/>
        <family val="2"/>
        <scheme val="minor"/>
      </rPr>
      <t>) :</t>
    </r>
  </si>
  <si>
    <t># 2 Kikir @30.000</t>
  </si>
  <si>
    <t># 150 Asbes 3m @80.000</t>
  </si>
  <si>
    <t># 65 Asbes 240 @68.000</t>
  </si>
  <si>
    <t># 27 Nok asbes @40.000</t>
  </si>
  <si>
    <t># 3kg Paku asbes @30.000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</si>
  <si>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21#</t>
    </r>
    <r>
      <rPr>
        <sz val="11"/>
        <color theme="1"/>
        <rFont val="Calibri"/>
        <family val="2"/>
        <scheme val="minor"/>
      </rPr>
      <t>) :</t>
    </r>
  </si>
  <si>
    <t># 15 Semen @56.000</t>
  </si>
  <si>
    <t># 20 Hong @75.000</t>
  </si>
  <si>
    <t># 20 Semen @56.000</t>
  </si>
  <si>
    <t># 25kg Paku 5 @20.000</t>
  </si>
  <si>
    <t># 6 Keni 3/4 @4.000</t>
  </si>
  <si>
    <t># 1 Karet asbes @30.000</t>
  </si>
  <si>
    <t># 1 Sok derat dalem @5.000</t>
  </si>
  <si>
    <t># 1 Bola Pelampung @95.000</t>
  </si>
  <si>
    <t># 2 Plosok 3/4 - 1/2 @5.000</t>
  </si>
  <si>
    <t># 2 Siltip @3.000</t>
  </si>
  <si>
    <t># 3 Pensil @5.000</t>
  </si>
  <si>
    <t># 1 pak Sarung tangan @50.000</t>
  </si>
  <si>
    <t># 1 dus Paku 10 @500.000</t>
  </si>
  <si>
    <t># 20 Hong 30 @75.000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</si>
  <si>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22#</t>
    </r>
    <r>
      <rPr>
        <sz val="11"/>
        <color theme="1"/>
        <rFont val="Calibri"/>
        <family val="2"/>
        <scheme val="minor"/>
      </rPr>
      <t>) :</t>
    </r>
  </si>
  <si>
    <t># 10 Hong 30 @75.000</t>
  </si>
  <si>
    <t># 10kg Paku 10 @20.000</t>
  </si>
  <si>
    <t># 10kg Paku 7 @20.000</t>
  </si>
  <si>
    <t># 1 set Gergaji besi @45.000</t>
  </si>
  <si>
    <t># 1 Palu @35.000</t>
  </si>
  <si>
    <t># 45 Besi 3/8 @55.000</t>
  </si>
  <si>
    <t># 10 Semen @56.000</t>
  </si>
  <si>
    <t># 1 isi gergaji @10.000</t>
  </si>
  <si>
    <t># 37 Hong @75.000</t>
  </si>
  <si>
    <t># 1 dus Paku 7 @500.000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</si>
  <si>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23#</t>
    </r>
    <r>
      <rPr>
        <sz val="11"/>
        <color theme="1"/>
        <rFont val="Calibri"/>
        <family val="2"/>
        <scheme val="minor"/>
      </rPr>
      <t>) :</t>
    </r>
  </si>
  <si>
    <t># 140 Kayu 5x10 @23.000</t>
  </si>
  <si>
    <t># 65 Kayu 2x20 @23.000</t>
  </si>
  <si>
    <t># 113 Kayu 4x6 @23.000</t>
  </si>
  <si>
    <t># 3 Kayu 6x12 @60.000</t>
  </si>
  <si>
    <t># 100 Kayu 2x20 @23.000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</si>
  <si>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24#</t>
    </r>
    <r>
      <rPr>
        <sz val="11"/>
        <color theme="1"/>
        <rFont val="Calibri"/>
        <family val="2"/>
        <scheme val="minor"/>
      </rPr>
      <t>) :</t>
    </r>
  </si>
  <si>
    <t># 2 mobil Batu @32.000</t>
  </si>
  <si>
    <t># Miyah 6 hari</t>
  </si>
  <si>
    <t># Ubung 6 hari</t>
  </si>
  <si>
    <t># Beni 6 hari</t>
  </si>
  <si>
    <t># Oyib 6 hari</t>
  </si>
  <si>
    <t># Iding 6 hari</t>
  </si>
  <si>
    <t># Eka 6 hari</t>
  </si>
  <si>
    <t># Edi 6 hari</t>
  </si>
  <si>
    <t># Bodong 6 hari</t>
  </si>
  <si>
    <t># Ajo 6 hari</t>
  </si>
  <si>
    <t># Abluk 6 hari</t>
  </si>
  <si>
    <t># Asir 6 hari</t>
  </si>
  <si>
    <t># Anip 5 hari</t>
  </si>
  <si>
    <t># RT.02 6 hari</t>
  </si>
  <si>
    <t># RT.01 6 hari</t>
  </si>
  <si>
    <t># Eti 6 hari</t>
  </si>
  <si>
    <t># Maneung 6 hari</t>
  </si>
  <si>
    <t>Karang Taruna Desa</t>
  </si>
  <si>
    <t>Kopi &amp; Air</t>
  </si>
  <si>
    <r>
      <t>Pembayaran tukang dalam pembangunan kandang @150.000 (</t>
    </r>
    <r>
      <rPr>
        <b/>
        <sz val="11"/>
        <color theme="1"/>
        <rFont val="Calibri"/>
        <family val="2"/>
        <scheme val="minor"/>
      </rPr>
      <t>PEKAN #4</t>
    </r>
    <r>
      <rPr>
        <sz val="11"/>
        <color theme="1"/>
        <rFont val="Calibri"/>
        <family val="2"/>
        <scheme val="minor"/>
      </rPr>
      <t>) :</t>
    </r>
  </si>
  <si>
    <r>
      <t>Pembayaran pembelian material (</t>
    </r>
    <r>
      <rPr>
        <b/>
        <sz val="11"/>
        <color theme="1"/>
        <rFont val="Calibri"/>
        <family val="2"/>
        <scheme val="minor"/>
      </rPr>
      <t>BON 25#</t>
    </r>
    <r>
      <rPr>
        <sz val="11"/>
        <color theme="1"/>
        <rFont val="Calibri"/>
        <family val="2"/>
        <scheme val="minor"/>
      </rPr>
      <t>) :</t>
    </r>
  </si>
  <si>
    <r>
      <t xml:space="preserve">DP Biaya Pembangunan Kandang KEVIN yang </t>
    </r>
    <r>
      <rPr>
        <b/>
        <sz val="12"/>
        <color theme="1"/>
        <rFont val="Calibri"/>
        <family val="2"/>
        <scheme val="minor"/>
      </rPr>
      <t>KEDUA</t>
    </r>
  </si>
  <si>
    <r>
      <t>Pembayaran pembelian material (</t>
    </r>
    <r>
      <rPr>
        <b/>
        <sz val="11"/>
        <color theme="1"/>
        <rFont val="Calibri"/>
        <family val="2"/>
        <scheme val="minor"/>
      </rPr>
      <t>BON 26#</t>
    </r>
    <r>
      <rPr>
        <sz val="11"/>
        <color theme="1"/>
        <rFont val="Calibri"/>
        <family val="2"/>
        <scheme val="minor"/>
      </rPr>
      <t>) :</t>
    </r>
  </si>
  <si>
    <t># 76 Kayu 5x10 @23.000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</si>
  <si>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27#</t>
    </r>
    <r>
      <rPr>
        <sz val="11"/>
        <color theme="1"/>
        <rFont val="Calibri"/>
        <family val="2"/>
        <scheme val="minor"/>
      </rPr>
      <t>) :</t>
    </r>
  </si>
  <si>
    <t># 38 Kayu 10x10 @50.000</t>
  </si>
  <si>
    <t># 104 Kayu 5x10 @23.000</t>
  </si>
  <si>
    <t># 6 Kayu 6x12 @60.000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</si>
  <si>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28#</t>
    </r>
    <r>
      <rPr>
        <sz val="11"/>
        <color theme="1"/>
        <rFont val="Calibri"/>
        <family val="2"/>
        <scheme val="minor"/>
      </rPr>
      <t>) :</t>
    </r>
  </si>
  <si>
    <t># 1 mobil batu @350.000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</si>
  <si>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29#</t>
    </r>
    <r>
      <rPr>
        <sz val="11"/>
        <color theme="1"/>
        <rFont val="Calibri"/>
        <family val="2"/>
        <scheme val="minor"/>
      </rPr>
      <t>) :</t>
    </r>
  </si>
  <si>
    <t># 21 Kayu 10x10 @50.000</t>
  </si>
  <si>
    <t># 30 Kayu 5x10 @23.000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</si>
  <si>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30#</t>
    </r>
    <r>
      <rPr>
        <sz val="11"/>
        <color theme="1"/>
        <rFont val="Calibri"/>
        <family val="2"/>
        <scheme val="minor"/>
      </rPr>
      <t>) :</t>
    </r>
  </si>
  <si>
    <t># 75 Kayu 5x10 @23.000</t>
  </si>
  <si>
    <t># 2 Kayu 10x10 @50.000</t>
  </si>
  <si>
    <t># 2 Kayu 10x10x3.2m @60.000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</si>
  <si>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31#</t>
    </r>
    <r>
      <rPr>
        <sz val="11"/>
        <color theme="1"/>
        <rFont val="Calibri"/>
        <family val="2"/>
        <scheme val="minor"/>
      </rPr>
      <t>) :</t>
    </r>
  </si>
  <si>
    <t># 7 Kayu 10x10x3.2m @60.000</t>
  </si>
  <si>
    <t># 25 Kayu 10x10 @50.000</t>
  </si>
  <si>
    <t># 37 Kayu 5x10 @23.000</t>
  </si>
  <si>
    <t># 26 Kayu 4x6 @23.000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</si>
  <si>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32#</t>
    </r>
    <r>
      <rPr>
        <sz val="11"/>
        <color theme="1"/>
        <rFont val="Calibri"/>
        <family val="2"/>
        <scheme val="minor"/>
      </rPr>
      <t>) :</t>
    </r>
  </si>
  <si>
    <t># 10 Kayu 6x12 @60.000</t>
  </si>
  <si>
    <t># 3 Kayu 5x10 @23.000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</si>
  <si>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33#</t>
    </r>
    <r>
      <rPr>
        <sz val="11"/>
        <color theme="1"/>
        <rFont val="Calibri"/>
        <family val="2"/>
        <scheme val="minor"/>
      </rPr>
      <t>) :</t>
    </r>
  </si>
  <si>
    <t># 50 Kayu 4x6 @23.000</t>
  </si>
  <si>
    <t># 110 Kayu 5x10 @23.000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</si>
  <si>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34#</t>
    </r>
    <r>
      <rPr>
        <sz val="11"/>
        <color theme="1"/>
        <rFont val="Calibri"/>
        <family val="2"/>
        <scheme val="minor"/>
      </rPr>
      <t>) :</t>
    </r>
  </si>
  <si>
    <t># 200 Bambu @15.000</t>
  </si>
  <si>
    <t># Nebang pohon</t>
  </si>
  <si>
    <r>
      <t>Pembayaran tukang dalam pembangunan kandang @150.000 (</t>
    </r>
    <r>
      <rPr>
        <b/>
        <sz val="11"/>
        <color theme="1"/>
        <rFont val="Calibri"/>
        <family val="2"/>
        <scheme val="minor"/>
      </rPr>
      <t>PEKAN #5</t>
    </r>
    <r>
      <rPr>
        <sz val="11"/>
        <color theme="1"/>
        <rFont val="Calibri"/>
        <family val="2"/>
        <scheme val="minor"/>
      </rPr>
      <t>) :</t>
    </r>
  </si>
  <si>
    <t># RT.02 8 hari</t>
  </si>
  <si>
    <t># Ubung 4 hari</t>
  </si>
  <si>
    <t># Oyib 7 hari</t>
  </si>
  <si>
    <t># Iding 4 hari</t>
  </si>
  <si>
    <t># Edi 7 hari</t>
  </si>
  <si>
    <t># Abluk 5 hari</t>
  </si>
  <si>
    <t># Anip 8 hari</t>
  </si>
  <si>
    <t># Eti 7 hari</t>
  </si>
  <si>
    <t># Maneung 8 hari</t>
  </si>
  <si>
    <r>
      <t>Pembayaran pembelian material (</t>
    </r>
    <r>
      <rPr>
        <b/>
        <sz val="11"/>
        <color theme="1"/>
        <rFont val="Calibri"/>
        <family val="2"/>
        <scheme val="minor"/>
      </rPr>
      <t>BON 35#</t>
    </r>
    <r>
      <rPr>
        <sz val="11"/>
        <color theme="1"/>
        <rFont val="Calibri"/>
        <family val="2"/>
        <scheme val="minor"/>
      </rPr>
      <t>) :</t>
    </r>
  </si>
  <si>
    <r>
      <t>Pembayaran pembelian material (</t>
    </r>
    <r>
      <rPr>
        <b/>
        <sz val="11"/>
        <color theme="1"/>
        <rFont val="Calibri"/>
        <family val="2"/>
        <scheme val="minor"/>
      </rPr>
      <t>BON 36#</t>
    </r>
    <r>
      <rPr>
        <sz val="11"/>
        <color theme="1"/>
        <rFont val="Calibri"/>
        <family val="2"/>
        <scheme val="minor"/>
      </rPr>
      <t>) :</t>
    </r>
  </si>
  <si>
    <t># 52 Kayu 5x10 @23.000</t>
  </si>
  <si>
    <t># 35 Kayu 4x6 @23.000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</si>
  <si>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37#</t>
    </r>
    <r>
      <rPr>
        <sz val="11"/>
        <color theme="1"/>
        <rFont val="Calibri"/>
        <family val="2"/>
        <scheme val="minor"/>
      </rPr>
      <t>) :</t>
    </r>
  </si>
  <si>
    <t># 160 Kayu 5x10 @23.000</t>
  </si>
  <si>
    <t># 46 Kayu 4x6 @23.000</t>
  </si>
  <si>
    <t># 63 Kayu 5x10 @23.000</t>
  </si>
  <si>
    <t># 3 Kayu 10x10 @50.000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</si>
  <si>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38#</t>
    </r>
    <r>
      <rPr>
        <sz val="11"/>
        <color theme="1"/>
        <rFont val="Calibri"/>
        <family val="2"/>
        <scheme val="minor"/>
      </rPr>
      <t>) :</t>
    </r>
  </si>
  <si>
    <t># 103 Kayu 2x20 @23.000</t>
  </si>
  <si>
    <t># 41 Kayu 5x10 @23.000</t>
  </si>
  <si>
    <t># 27 Kayu 4x6 @23.000</t>
  </si>
  <si>
    <r>
      <t>Pembayaran tukang dalam pembangunan kandang @150.000 (</t>
    </r>
    <r>
      <rPr>
        <b/>
        <sz val="11"/>
        <color theme="1"/>
        <rFont val="Calibri"/>
        <family val="2"/>
        <scheme val="minor"/>
      </rPr>
      <t>PEKAN #6</t>
    </r>
    <r>
      <rPr>
        <sz val="11"/>
        <color theme="1"/>
        <rFont val="Calibri"/>
        <family val="2"/>
        <scheme val="minor"/>
      </rPr>
      <t>) :</t>
    </r>
  </si>
  <si>
    <t># Ubung 0 hari</t>
  </si>
  <si>
    <t># Anip 6 hari</t>
  </si>
  <si>
    <t>Bor sumur</t>
  </si>
  <si>
    <r>
      <t>Pembayaran pembelian material (</t>
    </r>
    <r>
      <rPr>
        <b/>
        <sz val="11"/>
        <color theme="1"/>
        <rFont val="Calibri"/>
        <family val="2"/>
        <scheme val="minor"/>
      </rPr>
      <t>BON 39#</t>
    </r>
    <r>
      <rPr>
        <sz val="11"/>
        <color theme="1"/>
        <rFont val="Calibri"/>
        <family val="2"/>
        <scheme val="minor"/>
      </rPr>
      <t>) :</t>
    </r>
  </si>
  <si>
    <t># 18 Kayu 5x10 @23.000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</si>
  <si>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40#</t>
    </r>
    <r>
      <rPr>
        <sz val="11"/>
        <color theme="1"/>
        <rFont val="Calibri"/>
        <family val="2"/>
        <scheme val="minor"/>
      </rPr>
      <t>) :</t>
    </r>
  </si>
  <si>
    <r>
      <t>Pembayaran pembelian material (</t>
    </r>
    <r>
      <rPr>
        <b/>
        <sz val="11"/>
        <color theme="1"/>
        <rFont val="Calibri"/>
        <family val="2"/>
        <scheme val="minor"/>
      </rPr>
      <t>BON 41#</t>
    </r>
    <r>
      <rPr>
        <sz val="11"/>
        <color theme="1"/>
        <rFont val="Calibri"/>
        <family val="2"/>
        <scheme val="minor"/>
      </rPr>
      <t>) :</t>
    </r>
  </si>
  <si>
    <t># 92 Kayu 2x20 @23.000</t>
  </si>
  <si>
    <t># 60 Kayu 4x6 @23.000</t>
  </si>
  <si>
    <t>Kopi dan air</t>
  </si>
  <si>
    <t>Pasir 1 engkel</t>
  </si>
  <si>
    <r>
      <t>Pembayaran pembelian material (</t>
    </r>
    <r>
      <rPr>
        <b/>
        <sz val="11"/>
        <color theme="1"/>
        <rFont val="Calibri"/>
        <family val="2"/>
        <scheme val="minor"/>
      </rPr>
      <t>BON 42#</t>
    </r>
    <r>
      <rPr>
        <sz val="11"/>
        <color theme="1"/>
        <rFont val="Calibri"/>
        <family val="2"/>
        <scheme val="minor"/>
      </rPr>
      <t>) :</t>
    </r>
  </si>
  <si>
    <t># 1 dus Paku asbes @300.000</t>
  </si>
  <si>
    <t># 1 Karet asbes @40.000</t>
  </si>
  <si>
    <t># 1 pak benang @50.000</t>
  </si>
  <si>
    <t># 1 mobil Pasir @350.000</t>
  </si>
  <si>
    <t># 1 Kikir camel @20.000</t>
  </si>
  <si>
    <t># 2 Besi 10 @65.000</t>
  </si>
  <si>
    <t># 5 Besi 8 @72.000</t>
  </si>
  <si>
    <t># 8 Pralon 4/4 @90.000</t>
  </si>
  <si>
    <t># 2 Keni 4/4 @15.000</t>
  </si>
  <si>
    <t># 1 Lem kaleng @65.000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</si>
  <si>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43#</t>
    </r>
    <r>
      <rPr>
        <sz val="11"/>
        <color theme="1"/>
        <rFont val="Calibri"/>
        <family val="2"/>
        <scheme val="minor"/>
      </rPr>
      <t>) :</t>
    </r>
  </si>
  <si>
    <t># 1 Pacul @60.000</t>
  </si>
  <si>
    <t># 1 Gagang pacul @20.000</t>
  </si>
  <si>
    <t># 1 Garpu @150.000</t>
  </si>
  <si>
    <t># 1 Pengki oren @15.000</t>
  </si>
  <si>
    <t># 1 Asahan @15.000</t>
  </si>
  <si>
    <t># 29 Nok Asbes @40.000</t>
  </si>
  <si>
    <t># 1 pak Benang @50.000</t>
  </si>
  <si>
    <t># 7kg Paku Asbes @30.000</t>
  </si>
  <si>
    <t># 1 pak Karet Asbes @100.000</t>
  </si>
  <si>
    <t>Sisa Baterai 2 kandang</t>
  </si>
  <si>
    <r>
      <t>Pembayaran tukang dalam pembangunan kandang @150.000 (</t>
    </r>
    <r>
      <rPr>
        <b/>
        <sz val="11"/>
        <color theme="1"/>
        <rFont val="Calibri"/>
        <family val="2"/>
        <scheme val="minor"/>
      </rPr>
      <t>PEKAN #7</t>
    </r>
    <r>
      <rPr>
        <sz val="11"/>
        <color theme="1"/>
        <rFont val="Calibri"/>
        <family val="2"/>
        <scheme val="minor"/>
      </rPr>
      <t>) :</t>
    </r>
  </si>
  <si>
    <t># RT.02 7 hari</t>
  </si>
  <si>
    <t># Iding 0 hari</t>
  </si>
  <si>
    <t># Eka 7 hari</t>
  </si>
  <si>
    <t># Ajo 7 hari</t>
  </si>
  <si>
    <t># Abluk 4 hari</t>
  </si>
  <si>
    <t># Maneung 5 hari</t>
  </si>
  <si>
    <t>Pembelian perlengkapan sumur bor :</t>
  </si>
  <si>
    <t># 15 rucika 4 @320.000</t>
  </si>
  <si>
    <t># 20 rucika 1 @48.000</t>
  </si>
  <si>
    <t># 15 sdi @6.000</t>
  </si>
  <si>
    <t># 15 sdd @6.000</t>
  </si>
  <si>
    <t># 1 Lem kaleng @75.000</t>
  </si>
  <si>
    <t># 1 satelit @2.800.000</t>
  </si>
  <si>
    <t># 1 lakban @15.000</t>
  </si>
  <si>
    <t># 1 kabel T @20.000</t>
  </si>
  <si>
    <t># 10 doubletip @5.000</t>
  </si>
  <si>
    <t># 1 rol kabel 2x1,5</t>
  </si>
  <si>
    <t># 10m 3x0,75</t>
  </si>
  <si>
    <t># 1 stop 2 LB</t>
  </si>
  <si>
    <t># 1 steker B</t>
  </si>
  <si>
    <t># 4kg tambang</t>
  </si>
  <si>
    <t>OKTOBER</t>
  </si>
  <si>
    <r>
      <t>Pembayaran pembelian material (</t>
    </r>
    <r>
      <rPr>
        <b/>
        <sz val="11"/>
        <color theme="1"/>
        <rFont val="Calibri"/>
        <family val="2"/>
        <scheme val="minor"/>
      </rPr>
      <t>BON 44#</t>
    </r>
    <r>
      <rPr>
        <sz val="11"/>
        <color theme="1"/>
        <rFont val="Calibri"/>
        <family val="2"/>
        <scheme val="minor"/>
      </rPr>
      <t>) :</t>
    </r>
  </si>
  <si>
    <r>
      <t>Pembayaran pembelian material (</t>
    </r>
    <r>
      <rPr>
        <b/>
        <sz val="11"/>
        <color theme="1"/>
        <rFont val="Calibri"/>
        <family val="2"/>
        <scheme val="minor"/>
      </rPr>
      <t>BON 45#</t>
    </r>
    <r>
      <rPr>
        <sz val="11"/>
        <color theme="1"/>
        <rFont val="Calibri"/>
        <family val="2"/>
        <scheme val="minor"/>
      </rPr>
      <t>) :</t>
    </r>
  </si>
  <si>
    <t># 150 Kayu 4x6 @23.000</t>
  </si>
  <si>
    <t># 7 mobil batu @320.000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</si>
  <si>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46#</t>
    </r>
    <r>
      <rPr>
        <sz val="11"/>
        <color theme="1"/>
        <rFont val="Calibri"/>
        <family val="2"/>
        <scheme val="minor"/>
      </rPr>
      <t>) :</t>
    </r>
  </si>
  <si>
    <r>
      <t>Pembayaran pembelian material (</t>
    </r>
    <r>
      <rPr>
        <b/>
        <sz val="11"/>
        <color theme="1"/>
        <rFont val="Calibri"/>
        <family val="2"/>
        <scheme val="minor"/>
      </rPr>
      <t>BON 47#</t>
    </r>
    <r>
      <rPr>
        <sz val="11"/>
        <color theme="1"/>
        <rFont val="Calibri"/>
        <family val="2"/>
        <scheme val="minor"/>
      </rPr>
      <t>) :</t>
    </r>
  </si>
  <si>
    <t># 1 engkel pasir</t>
  </si>
  <si>
    <t># Miyah 7 hari</t>
  </si>
  <si>
    <t># Beni 7 hari</t>
  </si>
  <si>
    <t># Bodong 7 hari</t>
  </si>
  <si>
    <t># Abluk 7 hari</t>
  </si>
  <si>
    <t># Anip 7 hari</t>
  </si>
  <si>
    <t># RT.01 7 hari</t>
  </si>
  <si>
    <t># Maneung 7 hari</t>
  </si>
  <si>
    <t>Rondap</t>
  </si>
  <si>
    <t>Bon Awin sumur bor</t>
  </si>
  <si>
    <t>Kopi &amp; air</t>
  </si>
  <si>
    <t>Bersihkan pohon</t>
  </si>
  <si>
    <t>Bongkar baterai</t>
  </si>
  <si>
    <t>Bayar rakit baterai 337 set @5.000</t>
  </si>
  <si>
    <r>
      <t>Pembayaran tukang dalam pembangunan kandang @150.000 (</t>
    </r>
    <r>
      <rPr>
        <b/>
        <sz val="11"/>
        <color theme="1"/>
        <rFont val="Calibri"/>
        <family val="2"/>
        <scheme val="minor"/>
      </rPr>
      <t>PEKAN #8</t>
    </r>
    <r>
      <rPr>
        <sz val="11"/>
        <color theme="1"/>
        <rFont val="Calibri"/>
        <family val="2"/>
        <scheme val="minor"/>
      </rPr>
      <t>) :</t>
    </r>
  </si>
  <si>
    <t>Pelunasan pembayaran sumur bor 60 m @250.000 = 15.000.000 - DP 1.000.000 (20 sep) - DP 2.500.000 (23 sep) - DP 3.000.000 (4 okt) = 8.500.000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</si>
  <si>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48#</t>
    </r>
    <r>
      <rPr>
        <sz val="11"/>
        <color theme="1"/>
        <rFont val="Calibri"/>
        <family val="2"/>
        <scheme val="minor"/>
      </rPr>
      <t>) :</t>
    </r>
  </si>
  <si>
    <t># 5kg paku 7 @20.000</t>
  </si>
  <si>
    <t># 1 dus Band baja</t>
  </si>
  <si>
    <t># 1000 Band baja @220</t>
  </si>
  <si>
    <t># 5kg paku asbes @30.000</t>
  </si>
  <si>
    <t># 1 dus paku 5</t>
  </si>
  <si>
    <t># 1 dudukan amplas @10.000</t>
  </si>
  <si>
    <t># 5 amplas buled @2.000</t>
  </si>
  <si>
    <t># 1 kikir @30.000</t>
  </si>
  <si>
    <t># 10 semen @56.000</t>
  </si>
  <si>
    <t># 30 besi 4/10 @105.000</t>
  </si>
  <si>
    <t># 2 ceker ayam 40x40 @65.000</t>
  </si>
  <si>
    <t># 2 benrat putih @15.000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</si>
  <si>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49#</t>
    </r>
    <r>
      <rPr>
        <sz val="11"/>
        <color theme="1"/>
        <rFont val="Calibri"/>
        <family val="2"/>
        <scheme val="minor"/>
      </rPr>
      <t>) :</t>
    </r>
  </si>
  <si>
    <t># 15 semen @56.000</t>
  </si>
  <si>
    <t># 30 besi 8 @47.000</t>
  </si>
  <si>
    <t># 200 cincin 8x12 @1.300</t>
  </si>
  <si>
    <t># 4 benrat putih @15.000</t>
  </si>
  <si>
    <t># 3 sendok @25.000</t>
  </si>
  <si>
    <t># 1 bendrat putih @15.000</t>
  </si>
  <si>
    <t># 1 pak sarung tangan @50.000</t>
  </si>
  <si>
    <t># 12 pralon 4/4 @90.000</t>
  </si>
  <si>
    <t># 2 keni 4/4 @15.000</t>
  </si>
  <si>
    <t># 2 pralon 3/4 @12.000</t>
  </si>
  <si>
    <t># 1 Tc 3m @15.000</t>
  </si>
  <si>
    <t># 3 mobil batu @320.000</t>
  </si>
  <si>
    <t># 5 semen pasang @80.000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</si>
  <si>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50#</t>
    </r>
    <r>
      <rPr>
        <sz val="11"/>
        <color theme="1"/>
        <rFont val="Calibri"/>
        <family val="2"/>
        <scheme val="minor"/>
      </rPr>
      <t>) :</t>
    </r>
  </si>
  <si>
    <t># 100 cincin 8x12 @1.200</t>
  </si>
  <si>
    <t># 15 hebel @520.000</t>
  </si>
  <si>
    <t># 1 ragaji hebel @25.000</t>
  </si>
  <si>
    <t># 2 sendok @25.000</t>
  </si>
  <si>
    <t># 1kg benrat @20.000</t>
  </si>
  <si>
    <t># 1 palu bodem @75.000</t>
  </si>
  <si>
    <t># 1 tang biasa @20.000</t>
  </si>
  <si>
    <t># 1 tang camel @45.000</t>
  </si>
  <si>
    <t># 15 besi 8 @47.000</t>
  </si>
  <si>
    <t># 1 ikat cincin</t>
  </si>
  <si>
    <r>
      <t>Pembayaran pembelian material (</t>
    </r>
    <r>
      <rPr>
        <b/>
        <sz val="11"/>
        <color theme="1"/>
        <rFont val="Calibri"/>
        <family val="2"/>
        <scheme val="minor"/>
      </rPr>
      <t>BON 51#</t>
    </r>
    <r>
      <rPr>
        <sz val="11"/>
        <color theme="1"/>
        <rFont val="Calibri"/>
        <family val="2"/>
        <scheme val="minor"/>
      </rPr>
      <t>) :</t>
    </r>
  </si>
  <si>
    <t># 2kg benrat @20.000</t>
  </si>
  <si>
    <t># 1kg paku reng @20.000</t>
  </si>
  <si>
    <t>DP Biaya Pembangunan Mess dan Gudang KEVIN</t>
  </si>
  <si>
    <r>
      <t>Pembayaran pembelian material (</t>
    </r>
    <r>
      <rPr>
        <b/>
        <sz val="11"/>
        <color theme="1"/>
        <rFont val="Calibri"/>
        <family val="2"/>
        <scheme val="minor"/>
      </rPr>
      <t>BON 52#</t>
    </r>
    <r>
      <rPr>
        <sz val="11"/>
        <color theme="1"/>
        <rFont val="Calibri"/>
        <family val="2"/>
        <scheme val="minor"/>
      </rPr>
      <t>) :</t>
    </r>
  </si>
  <si>
    <t># 5kg Kawat Seng B @30.000</t>
  </si>
  <si>
    <t># 1 sendok</t>
  </si>
  <si>
    <t>Biaya bongkar baterai</t>
  </si>
  <si>
    <r>
      <t>Pembayaran tukang dalam pembangunan kandang @150.000 (</t>
    </r>
    <r>
      <rPr>
        <b/>
        <sz val="11"/>
        <color theme="1"/>
        <rFont val="Calibri"/>
        <family val="2"/>
        <scheme val="minor"/>
      </rPr>
      <t>PEKAN #9</t>
    </r>
    <r>
      <rPr>
        <sz val="11"/>
        <color theme="1"/>
        <rFont val="Calibri"/>
        <family val="2"/>
        <scheme val="minor"/>
      </rPr>
      <t>) :</t>
    </r>
  </si>
  <si>
    <t># Asir 4 hari</t>
  </si>
  <si>
    <t># Ubung 3 hari</t>
  </si>
  <si>
    <t># Maneung 3 hari</t>
  </si>
  <si>
    <t>DP Kusen</t>
  </si>
  <si>
    <t>Minta setrum</t>
  </si>
  <si>
    <r>
      <t>Pembayaran tukang dalam pembangunan kandang @150.000 (</t>
    </r>
    <r>
      <rPr>
        <b/>
        <sz val="11"/>
        <color theme="1"/>
        <rFont val="Calibri"/>
        <family val="2"/>
        <scheme val="minor"/>
      </rPr>
      <t>PEKAN #10</t>
    </r>
    <r>
      <rPr>
        <sz val="11"/>
        <color theme="1"/>
        <rFont val="Calibri"/>
        <family val="2"/>
        <scheme val="minor"/>
      </rPr>
      <t>) :</t>
    </r>
  </si>
  <si>
    <t># Asir 0 hari</t>
  </si>
  <si>
    <t># Abluk 2 hari</t>
  </si>
  <si>
    <t># RT.01 4 hari</t>
  </si>
  <si>
    <t># Maneung 0 hari</t>
  </si>
  <si>
    <r>
      <t>Pembayaran pembelian material (</t>
    </r>
    <r>
      <rPr>
        <b/>
        <sz val="11"/>
        <color theme="1"/>
        <rFont val="Calibri"/>
        <family val="2"/>
        <scheme val="minor"/>
      </rPr>
      <t>BON 53#</t>
    </r>
    <r>
      <rPr>
        <sz val="11"/>
        <color theme="1"/>
        <rFont val="Calibri"/>
        <family val="2"/>
        <scheme val="minor"/>
      </rPr>
      <t>) :</t>
    </r>
  </si>
  <si>
    <t># 2 bering 6003 @20.000</t>
  </si>
  <si>
    <t># Las karbit</t>
  </si>
  <si>
    <r>
      <t>Pembayaran pembelian material (</t>
    </r>
    <r>
      <rPr>
        <b/>
        <sz val="11"/>
        <color theme="1"/>
        <rFont val="Calibri"/>
        <family val="2"/>
        <scheme val="minor"/>
      </rPr>
      <t>BON 54#</t>
    </r>
    <r>
      <rPr>
        <sz val="11"/>
        <color theme="1"/>
        <rFont val="Calibri"/>
        <family val="2"/>
        <scheme val="minor"/>
      </rPr>
      <t>) :</t>
    </r>
  </si>
  <si>
    <t># 55 Kayu 5x10 @23.000</t>
  </si>
  <si>
    <t># 20 Kayu 10x10 @50.000</t>
  </si>
  <si>
    <t>Kusen :                                                                                                                                                         (Kusen pintu 6 x @650.000) 3.900.000 + (Kusen jendela 3 x @550.000) 1.650.000 + (Kusen jendela gendong 3 x @700.000) 2.100.000 + (Kusen kaca dapur 2 x @300.000) 600.000 = 8.250.000 - (DP Kusen) 5.500.000 = 2.750.000</t>
  </si>
  <si>
    <t>Angkut talang pakan</t>
  </si>
  <si>
    <t>Babinsa</t>
  </si>
  <si>
    <t>Bayar borongan set baterai</t>
  </si>
  <si>
    <r>
      <t>Pembayaran pembelian material (</t>
    </r>
    <r>
      <rPr>
        <b/>
        <sz val="11"/>
        <color theme="1"/>
        <rFont val="Calibri"/>
        <family val="2"/>
        <scheme val="minor"/>
      </rPr>
      <t>BON 55#</t>
    </r>
    <r>
      <rPr>
        <sz val="11"/>
        <color theme="1"/>
        <rFont val="Calibri"/>
        <family val="2"/>
        <scheme val="minor"/>
      </rPr>
      <t>) :</t>
    </r>
  </si>
  <si>
    <t># 1 kating</t>
  </si>
  <si>
    <t># 200 cincin 8x12 @1.200</t>
  </si>
  <si>
    <t># 4 kbk hebel 10 @520.000</t>
  </si>
  <si>
    <t># 10 benrat @10.000</t>
  </si>
  <si>
    <t># 1 soligen 5m</t>
  </si>
  <si>
    <t># 1 pak sarung tangan</t>
  </si>
  <si>
    <t># 5kg paku 10 @20.000</t>
  </si>
  <si>
    <t># 100 band baja @200</t>
  </si>
  <si>
    <t># 2 bks Paku 3cm @5.000</t>
  </si>
  <si>
    <t># 1 semen pasang</t>
  </si>
  <si>
    <t># 1 palu</t>
  </si>
  <si>
    <t># 8 grc @50.000</t>
  </si>
  <si>
    <t># 2 semen pasang</t>
  </si>
  <si>
    <r>
      <t>Pembayaran pembelian material (</t>
    </r>
    <r>
      <rPr>
        <b/>
        <sz val="11"/>
        <color theme="1"/>
        <rFont val="Calibri"/>
        <family val="2"/>
        <scheme val="minor"/>
      </rPr>
      <t>BON 56#</t>
    </r>
    <r>
      <rPr>
        <sz val="11"/>
        <color theme="1"/>
        <rFont val="Calibri"/>
        <family val="2"/>
        <scheme val="minor"/>
      </rPr>
      <t>) :</t>
    </r>
  </si>
  <si>
    <t># 2 meteran soligen @35.000</t>
  </si>
  <si>
    <t># 1 ragaji hebel</t>
  </si>
  <si>
    <t># 1 konci besi</t>
  </si>
  <si>
    <t># 4 benrat @10.000</t>
  </si>
  <si>
    <t># 16 besi 8 @47.000</t>
  </si>
  <si>
    <t># 3 bks band baja @20.000</t>
  </si>
  <si>
    <t># 1 sofit baja</t>
  </si>
  <si>
    <t># 2 sekrup gipsum @5.000</t>
  </si>
  <si>
    <t># 1kg paku 7</t>
  </si>
  <si>
    <t># 1 meteran 5m</t>
  </si>
  <si>
    <t># 4 triplek 3m @50.000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</si>
  <si>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57#</t>
    </r>
    <r>
      <rPr>
        <sz val="11"/>
        <color theme="1"/>
        <rFont val="Calibri"/>
        <family val="2"/>
        <scheme val="minor"/>
      </rPr>
      <t>) :</t>
    </r>
  </si>
  <si>
    <t># 5 semen 50kg @56.000</t>
  </si>
  <si>
    <t># 50 asbes 240 @68.000</t>
  </si>
  <si>
    <t># 3 besi 8 @47.000</t>
  </si>
  <si>
    <t># 14 nok asbes @40.000</t>
  </si>
  <si>
    <r>
      <t>Pembayaran tukang dalam pembangunan kandang @150.000 (</t>
    </r>
    <r>
      <rPr>
        <b/>
        <sz val="11"/>
        <color theme="1"/>
        <rFont val="Calibri"/>
        <family val="2"/>
        <scheme val="minor"/>
      </rPr>
      <t>PEKAN #11</t>
    </r>
    <r>
      <rPr>
        <sz val="11"/>
        <color theme="1"/>
        <rFont val="Calibri"/>
        <family val="2"/>
        <scheme val="minor"/>
      </rPr>
      <t>) :</t>
    </r>
  </si>
  <si>
    <t># Miyah 6.5 hari</t>
  </si>
  <si>
    <t># RT.02 1 hari</t>
  </si>
  <si>
    <t># Beni 6.5 hari</t>
  </si>
  <si>
    <t># Oyib 6.5 hari</t>
  </si>
  <si>
    <t># Iding 6.5 hari</t>
  </si>
  <si>
    <t># Eka 6.5 hari</t>
  </si>
  <si>
    <t># Edi 6.5 hari</t>
  </si>
  <si>
    <t># Bodong 6.5 hari</t>
  </si>
  <si>
    <t># Ajo 6.5 hari</t>
  </si>
  <si>
    <t># Abluk 5.5 hari</t>
  </si>
  <si>
    <t># Anip 6.5 hari</t>
  </si>
  <si>
    <t># RT.01 6.5 hari</t>
  </si>
  <si>
    <t># Eti 6.5 hari</t>
  </si>
  <si>
    <r>
      <t>Pembayaran pembelian material (</t>
    </r>
    <r>
      <rPr>
        <b/>
        <sz val="11"/>
        <color theme="1"/>
        <rFont val="Calibri"/>
        <family val="2"/>
        <scheme val="minor"/>
      </rPr>
      <t>BON 58#</t>
    </r>
    <r>
      <rPr>
        <sz val="11"/>
        <color theme="1"/>
        <rFont val="Calibri"/>
        <family val="2"/>
        <scheme val="minor"/>
      </rPr>
      <t>) :</t>
    </r>
  </si>
  <si>
    <t># 50 Kayu 5x10 @23.000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</si>
  <si>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59#</t>
    </r>
    <r>
      <rPr>
        <sz val="11"/>
        <color theme="1"/>
        <rFont val="Calibri"/>
        <family val="2"/>
        <scheme val="minor"/>
      </rPr>
      <t>) :</t>
    </r>
  </si>
  <si>
    <t># 3kg paku 7 @20.000</t>
  </si>
  <si>
    <t># 3kg paku asbes @30.000</t>
  </si>
  <si>
    <t># Karet asbes</t>
  </si>
  <si>
    <t># Palu</t>
  </si>
  <si>
    <t># 300 band baja @200</t>
  </si>
  <si>
    <t># 23 besi 8 @47.000</t>
  </si>
  <si>
    <t># 2 panto wc @235.000</t>
  </si>
  <si>
    <t># 2 closet @145.000</t>
  </si>
  <si>
    <t># 5 triplek 9m @105.000</t>
  </si>
  <si>
    <t># 2 toren 350 @550.000</t>
  </si>
  <si>
    <t># Toren 1.000L</t>
  </si>
  <si>
    <t># 3 pralon 3/4 @60.000</t>
  </si>
  <si>
    <t># 2 keni 3/4 @12.000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</si>
  <si>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60#</t>
    </r>
    <r>
      <rPr>
        <sz val="11"/>
        <color theme="1"/>
        <rFont val="Calibri"/>
        <family val="2"/>
        <scheme val="minor"/>
      </rPr>
      <t>) :</t>
    </r>
  </si>
  <si>
    <t># 100 keni 3/4 @4.000</t>
  </si>
  <si>
    <t># 30 stop keran 3/4 @20.000</t>
  </si>
  <si>
    <t># 10 tc 3/4 @5.000</t>
  </si>
  <si>
    <t># Lem kaleng</t>
  </si>
  <si>
    <t># Ragaji besi</t>
  </si>
  <si>
    <t># 25 pralon 3/4 @25.000</t>
  </si>
  <si>
    <r>
      <t>Pembayaran pembelian material (</t>
    </r>
    <r>
      <rPr>
        <b/>
        <sz val="11"/>
        <color theme="1"/>
        <rFont val="Calibri"/>
        <family val="2"/>
        <scheme val="minor"/>
      </rPr>
      <t>BON 61#</t>
    </r>
    <r>
      <rPr>
        <sz val="11"/>
        <color theme="1"/>
        <rFont val="Calibri"/>
        <family val="2"/>
        <scheme val="minor"/>
      </rPr>
      <t>) :</t>
    </r>
  </si>
  <si>
    <r>
      <t>Pembayaran pembelian material (</t>
    </r>
    <r>
      <rPr>
        <b/>
        <sz val="11"/>
        <color theme="1"/>
        <rFont val="Calibri"/>
        <family val="2"/>
        <scheme val="minor"/>
      </rPr>
      <t>BON 62#</t>
    </r>
    <r>
      <rPr>
        <sz val="11"/>
        <color theme="1"/>
        <rFont val="Calibri"/>
        <family val="2"/>
        <scheme val="minor"/>
      </rPr>
      <t>) :</t>
    </r>
  </si>
  <si>
    <t># Gunting baja</t>
  </si>
  <si>
    <t># 12 besi 8 @47.000</t>
  </si>
  <si>
    <t># 8 triplek 9m @105.000</t>
  </si>
  <si>
    <t># 2 kubik hebel 10 @520.000</t>
  </si>
  <si>
    <t># 5 semen 50 @56.000</t>
  </si>
  <si>
    <t># 2 keni 3m @12.000</t>
  </si>
  <si>
    <t># 20 besi 8 @47.000</t>
  </si>
  <si>
    <t># Waterpas kodai</t>
  </si>
  <si>
    <t># Koas 4/4</t>
  </si>
  <si>
    <t># Pengki</t>
  </si>
  <si>
    <t># 2 pralon listrik @7.000</t>
  </si>
  <si>
    <t># 20 semen @56.000</t>
  </si>
  <si>
    <t># 3 ember @15.000</t>
  </si>
  <si>
    <t># 4 siltip @3.000</t>
  </si>
  <si>
    <t># 5 handle pintu @85.000</t>
  </si>
  <si>
    <t># 8 engsel pintu @30.000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</si>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</sst>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_);_(* \(#,##0\);_(* &quot;-&quot;_);_(@_)"/>
    <numFmt numFmtId="165" formatCode="#,##0_ 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7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24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justify" vertical="justify"/>
    </xf>
    <xf numFmtId="164" fontId="20" fillId="0" borderId="0" xfId="1" applyNumberFormat="1" applyFont="1" applyAlignment="1"/>
    <xf numFmtId="0" fontId="21" fillId="2" borderId="1" xfId="0" applyFont="1" applyFill="1" applyBorder="1" applyAlignment="1">
      <alignment horizontal="center" vertical="center"/>
    </xf>
    <xf numFmtId="164" fontId="21" fillId="2" borderId="1" xfId="1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0" fillId="0" borderId="1" xfId="0" applyFont="1" applyBorder="1" applyAlignment="1"/>
    <xf numFmtId="0" fontId="21" fillId="0" borderId="1" xfId="0" applyFont="1" applyBorder="1" applyAlignment="1">
      <alignment horizontal="left" vertical="justify"/>
    </xf>
    <xf numFmtId="164" fontId="21" fillId="0" borderId="1" xfId="1" applyNumberFormat="1" applyFont="1" applyBorder="1" applyAlignment="1"/>
    <xf numFmtId="0" fontId="21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left" vertical="justify"/>
    </xf>
    <xf numFmtId="164" fontId="20" fillId="0" borderId="1" xfId="1" applyNumberFormat="1" applyFont="1" applyBorder="1" applyAlignment="1"/>
    <xf numFmtId="0" fontId="21" fillId="0" borderId="1" xfId="0" applyFont="1" applyBorder="1" applyAlignment="1">
      <alignment horizontal="right" vertical="justify"/>
    </xf>
    <xf numFmtId="0" fontId="20" fillId="0" borderId="1" xfId="0" applyFont="1" applyBorder="1" applyAlignment="1">
      <alignment vertical="top"/>
    </xf>
    <xf numFmtId="0" fontId="20" fillId="0" borderId="1" xfId="0" applyFont="1" applyBorder="1" applyAlignment="1">
      <alignment horizontal="justify" vertical="top"/>
    </xf>
    <xf numFmtId="164" fontId="20" fillId="0" borderId="1" xfId="1" applyNumberFormat="1" applyFont="1" applyBorder="1" applyAlignment="1">
      <alignment vertical="top"/>
    </xf>
    <xf numFmtId="165" fontId="0" fillId="0" borderId="1" xfId="0" applyNumberFormat="1" applyBorder="1">
      <alignment vertical="center"/>
    </xf>
    <xf numFmtId="0" fontId="20" fillId="0" borderId="1" xfId="0" applyFont="1" applyBorder="1" applyAlignment="1">
      <alignment horizontal="center" vertical="top"/>
    </xf>
    <xf numFmtId="0" fontId="21" fillId="0" borderId="1" xfId="0" applyFont="1" applyBorder="1" applyAlignment="1">
      <alignment horizontal="right" vertical="top"/>
    </xf>
    <xf numFmtId="164" fontId="21" fillId="0" borderId="1" xfId="1" applyNumberFormat="1" applyFont="1" applyBorder="1" applyAlignment="1">
      <alignment vertical="top"/>
    </xf>
    <xf numFmtId="165" fontId="20" fillId="0" borderId="0" xfId="0" applyNumberFormat="1" applyFont="1" applyAlignment="1"/>
    <xf numFmtId="164" fontId="22" fillId="3" borderId="1" xfId="1" applyNumberFormat="1" applyFont="1" applyFill="1" applyBorder="1" applyAlignment="1">
      <alignment vertical="top"/>
    </xf>
    <xf numFmtId="164" fontId="20" fillId="0" borderId="0" xfId="0" applyNumberFormat="1" applyFont="1" applyAlignment="1"/>
    <xf numFmtId="165" fontId="19" fillId="0" borderId="1" xfId="0" applyNumberFormat="1" applyFont="1" applyBorder="1">
      <alignment vertical="center"/>
    </xf>
    <xf numFmtId="165" fontId="18" fillId="4" borderId="1" xfId="0" applyNumberFormat="1" applyFont="1" applyFill="1" applyBorder="1">
      <alignment vertical="center"/>
    </xf>
    <xf numFmtId="165" fontId="18" fillId="0" borderId="1" xfId="0" applyNumberFormat="1" applyFont="1" applyBorder="1">
      <alignment vertical="center"/>
    </xf>
    <xf numFmtId="165" fontId="17" fillId="4" borderId="1" xfId="0" applyNumberFormat="1" applyFont="1" applyFill="1" applyBorder="1">
      <alignment vertical="center"/>
    </xf>
    <xf numFmtId="165" fontId="17" fillId="0" borderId="1" xfId="0" applyNumberFormat="1" applyFont="1" applyBorder="1">
      <alignment vertical="center"/>
    </xf>
    <xf numFmtId="0" fontId="25" fillId="0" borderId="1" xfId="0" applyFont="1" applyBorder="1" applyAlignment="1">
      <alignment horizontal="center" vertical="top"/>
    </xf>
    <xf numFmtId="0" fontId="26" fillId="0" borderId="1" xfId="0" applyFont="1" applyBorder="1" applyAlignment="1">
      <alignment vertical="top"/>
    </xf>
    <xf numFmtId="165" fontId="25" fillId="4" borderId="1" xfId="0" applyNumberFormat="1" applyFont="1" applyFill="1" applyBorder="1" applyAlignment="1">
      <alignment horizontal="right" vertical="center"/>
    </xf>
    <xf numFmtId="165" fontId="25" fillId="0" borderId="1" xfId="0" applyNumberFormat="1" applyFont="1" applyBorder="1">
      <alignment vertical="center"/>
    </xf>
    <xf numFmtId="164" fontId="25" fillId="0" borderId="1" xfId="1" applyNumberFormat="1" applyFont="1" applyBorder="1" applyAlignment="1">
      <alignment vertical="top"/>
    </xf>
    <xf numFmtId="0" fontId="26" fillId="0" borderId="0" xfId="0" applyFont="1" applyAlignment="1"/>
    <xf numFmtId="165" fontId="16" fillId="4" borderId="1" xfId="0" applyNumberFormat="1" applyFont="1" applyFill="1" applyBorder="1">
      <alignment vertical="center"/>
    </xf>
    <xf numFmtId="165" fontId="15" fillId="0" borderId="1" xfId="0" applyNumberFormat="1" applyFont="1" applyBorder="1">
      <alignment vertical="center"/>
    </xf>
    <xf numFmtId="165" fontId="14" fillId="4" borderId="1" xfId="0" applyNumberFormat="1" applyFont="1" applyFill="1" applyBorder="1">
      <alignment vertical="center"/>
    </xf>
    <xf numFmtId="165" fontId="14" fillId="0" borderId="1" xfId="0" applyNumberFormat="1" applyFont="1" applyBorder="1">
      <alignment vertical="center"/>
    </xf>
    <xf numFmtId="0" fontId="21" fillId="0" borderId="1" xfId="0" applyFont="1" applyBorder="1" applyAlignment="1">
      <alignment horizontal="justify" vertical="top"/>
    </xf>
    <xf numFmtId="0" fontId="21" fillId="0" borderId="1" xfId="0" applyFont="1" applyBorder="1" applyAlignment="1">
      <alignment horizontal="right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>
      <alignment vertical="center"/>
    </xf>
    <xf numFmtId="165" fontId="21" fillId="0" borderId="1" xfId="0" applyNumberFormat="1" applyFont="1" applyBorder="1">
      <alignment vertical="center"/>
    </xf>
    <xf numFmtId="0" fontId="26" fillId="0" borderId="0" xfId="0" applyFont="1">
      <alignment vertical="center"/>
    </xf>
    <xf numFmtId="164" fontId="27" fillId="3" borderId="1" xfId="1" applyNumberFormat="1" applyFont="1" applyFill="1" applyBorder="1" applyAlignment="1">
      <alignment vertical="center"/>
    </xf>
    <xf numFmtId="165" fontId="13" fillId="0" borderId="1" xfId="0" applyNumberFormat="1" applyFont="1" applyBorder="1">
      <alignment vertical="center"/>
    </xf>
    <xf numFmtId="165" fontId="13" fillId="4" borderId="1" xfId="0" applyNumberFormat="1" applyFont="1" applyFill="1" applyBorder="1">
      <alignment vertical="center"/>
    </xf>
    <xf numFmtId="165" fontId="12" fillId="0" borderId="1" xfId="0" applyNumberFormat="1" applyFont="1" applyBorder="1">
      <alignment vertical="center"/>
    </xf>
    <xf numFmtId="165" fontId="12" fillId="4" borderId="1" xfId="0" applyNumberFormat="1" applyFont="1" applyFill="1" applyBorder="1">
      <alignment vertical="center"/>
    </xf>
    <xf numFmtId="165" fontId="11" fillId="0" borderId="1" xfId="0" applyNumberFormat="1" applyFont="1" applyBorder="1">
      <alignment vertical="center"/>
    </xf>
    <xf numFmtId="165" fontId="11" fillId="4" borderId="1" xfId="0" applyNumberFormat="1" applyFont="1" applyFill="1" applyBorder="1">
      <alignment vertical="center"/>
    </xf>
    <xf numFmtId="165" fontId="10" fillId="0" borderId="1" xfId="0" applyNumberFormat="1" applyFont="1" applyBorder="1">
      <alignment vertical="center"/>
    </xf>
    <xf numFmtId="165" fontId="10" fillId="4" borderId="1" xfId="0" applyNumberFormat="1" applyFont="1" applyFill="1" applyBorder="1">
      <alignment vertical="center"/>
    </xf>
    <xf numFmtId="165" fontId="9" fillId="0" borderId="1" xfId="0" applyNumberFormat="1" applyFont="1" applyBorder="1">
      <alignment vertical="center"/>
    </xf>
    <xf numFmtId="165" fontId="9" fillId="4" borderId="1" xfId="0" applyNumberFormat="1" applyFont="1" applyFill="1" applyBorder="1">
      <alignment vertical="center"/>
    </xf>
    <xf numFmtId="165" fontId="8" fillId="4" borderId="1" xfId="0" applyNumberFormat="1" applyFont="1" applyFill="1" applyBorder="1">
      <alignment vertical="center"/>
    </xf>
    <xf numFmtId="165" fontId="8" fillId="0" borderId="1" xfId="0" applyNumberFormat="1" applyFont="1" applyBorder="1">
      <alignment vertical="center"/>
    </xf>
    <xf numFmtId="41" fontId="20" fillId="0" borderId="0" xfId="1" applyFont="1" applyAlignment="1"/>
    <xf numFmtId="165" fontId="7" fillId="0" borderId="1" xfId="0" applyNumberFormat="1" applyFont="1" applyBorder="1">
      <alignment vertical="center"/>
    </xf>
    <xf numFmtId="41" fontId="20" fillId="0" borderId="0" xfId="0" applyNumberFormat="1" applyFont="1" applyAlignment="1"/>
    <xf numFmtId="165" fontId="7" fillId="4" borderId="1" xfId="0" applyNumberFormat="1" applyFont="1" applyFill="1" applyBorder="1">
      <alignment vertical="center"/>
    </xf>
    <xf numFmtId="165" fontId="7" fillId="0" borderId="1" xfId="0" applyNumberFormat="1" applyFont="1" applyBorder="1" applyAlignment="1">
      <alignment horizontal="justify" vertical="justify"/>
    </xf>
    <xf numFmtId="165" fontId="6" fillId="0" borderId="1" xfId="0" applyNumberFormat="1" applyFont="1" applyBorder="1">
      <alignment vertical="center"/>
    </xf>
    <xf numFmtId="165" fontId="6" fillId="4" borderId="1" xfId="0" applyNumberFormat="1" applyFont="1" applyFill="1" applyBorder="1">
      <alignment vertical="center"/>
    </xf>
    <xf numFmtId="165" fontId="5" fillId="0" borderId="1" xfId="0" applyNumberFormat="1" applyFont="1" applyBorder="1">
      <alignment vertical="center"/>
    </xf>
    <xf numFmtId="165" fontId="5" fillId="4" borderId="1" xfId="0" applyNumberFormat="1" applyFont="1" applyFill="1" applyBorder="1">
      <alignment vertical="center"/>
    </xf>
    <xf numFmtId="164" fontId="0" fillId="0" borderId="0" xfId="0" applyNumberFormat="1">
      <alignment vertical="center"/>
    </xf>
    <xf numFmtId="165" fontId="4" fillId="4" borderId="1" xfId="0" applyNumberFormat="1" applyFont="1" applyFill="1" applyBorder="1">
      <alignment vertical="center"/>
    </xf>
    <xf numFmtId="165" fontId="4" fillId="0" borderId="1" xfId="0" applyNumberFormat="1" applyFont="1" applyBorder="1">
      <alignment vertical="center"/>
    </xf>
    <xf numFmtId="165" fontId="4" fillId="0" borderId="1" xfId="0" applyNumberFormat="1" applyFont="1" applyBorder="1" applyAlignment="1">
      <alignment vertical="center" wrapText="1"/>
    </xf>
    <xf numFmtId="0" fontId="21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vertical="top" wrapText="1"/>
    </xf>
    <xf numFmtId="165" fontId="0" fillId="0" borderId="1" xfId="0" applyNumberFormat="1" applyBorder="1" applyAlignment="1">
      <alignment vertical="center" wrapText="1"/>
    </xf>
    <xf numFmtId="164" fontId="20" fillId="0" borderId="1" xfId="1" applyNumberFormat="1" applyFont="1" applyBorder="1" applyAlignment="1">
      <alignment vertical="top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41" fontId="0" fillId="0" borderId="0" xfId="1" applyFont="1" applyAlignment="1">
      <alignment vertical="center" wrapText="1"/>
    </xf>
    <xf numFmtId="165" fontId="3" fillId="0" borderId="1" xfId="0" applyNumberFormat="1" applyFont="1" applyBorder="1">
      <alignment vertical="center"/>
    </xf>
    <xf numFmtId="165" fontId="3" fillId="4" borderId="1" xfId="0" applyNumberFormat="1" applyFont="1" applyFill="1" applyBorder="1">
      <alignment vertical="center"/>
    </xf>
    <xf numFmtId="0" fontId="20" fillId="0" borderId="0" xfId="0" applyFont="1" applyAlignment="1">
      <alignment horizontal="center" vertical="top"/>
    </xf>
    <xf numFmtId="0" fontId="20" fillId="0" borderId="0" xfId="0" applyFont="1" applyAlignment="1">
      <alignment vertical="top"/>
    </xf>
    <xf numFmtId="0" fontId="21" fillId="0" borderId="0" xfId="0" applyFont="1" applyAlignment="1">
      <alignment horizontal="right" vertical="top"/>
    </xf>
    <xf numFmtId="164" fontId="21" fillId="0" borderId="0" xfId="1" applyNumberFormat="1" applyFont="1" applyBorder="1" applyAlignment="1">
      <alignment vertical="top"/>
    </xf>
    <xf numFmtId="164" fontId="22" fillId="4" borderId="0" xfId="1" applyNumberFormat="1" applyFont="1" applyFill="1" applyBorder="1" applyAlignment="1">
      <alignment vertical="top"/>
    </xf>
    <xf numFmtId="165" fontId="2" fillId="4" borderId="1" xfId="0" applyNumberFormat="1" applyFont="1" applyFill="1" applyBorder="1">
      <alignment vertical="center"/>
    </xf>
    <xf numFmtId="165" fontId="2" fillId="4" borderId="5" xfId="0" applyNumberFormat="1" applyFont="1" applyFill="1" applyBorder="1">
      <alignment vertical="center"/>
    </xf>
    <xf numFmtId="41" fontId="0" fillId="0" borderId="0" xfId="1" applyFont="1">
      <alignment vertical="center"/>
    </xf>
    <xf numFmtId="41" fontId="20" fillId="0" borderId="0" xfId="1" applyFont="1" applyAlignment="1">
      <alignment horizontal="center" vertical="center"/>
    </xf>
    <xf numFmtId="41" fontId="26" fillId="0" borderId="0" xfId="1" applyFont="1">
      <alignment vertical="center"/>
    </xf>
    <xf numFmtId="165" fontId="2" fillId="0" borderId="1" xfId="0" applyNumberFormat="1" applyFont="1" applyBorder="1">
      <alignment vertical="center"/>
    </xf>
    <xf numFmtId="41" fontId="0" fillId="0" borderId="0" xfId="0" applyNumberFormat="1">
      <alignment vertical="center"/>
    </xf>
    <xf numFmtId="0" fontId="21" fillId="2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165" fontId="30" fillId="4" borderId="0" xfId="0" applyNumberFormat="1" applyFont="1" applyFill="1" applyBorder="1">
      <alignment vertical="center"/>
    </xf>
    <xf numFmtId="0" fontId="31" fillId="4" borderId="0" xfId="0" applyFont="1" applyFill="1" applyBorder="1" applyAlignment="1">
      <alignment horizontal="center" vertical="center"/>
    </xf>
    <xf numFmtId="164" fontId="31" fillId="4" borderId="0" xfId="1" applyNumberFormat="1" applyFont="1" applyFill="1" applyBorder="1" applyAlignment="1">
      <alignment horizontal="center" vertical="center"/>
    </xf>
    <xf numFmtId="0" fontId="31" fillId="4" borderId="0" xfId="0" applyFont="1" applyFill="1" applyBorder="1" applyAlignment="1">
      <alignment horizontal="center"/>
    </xf>
    <xf numFmtId="0" fontId="32" fillId="4" borderId="0" xfId="0" applyFont="1" applyFill="1" applyBorder="1" applyAlignment="1"/>
    <xf numFmtId="0" fontId="31" fillId="4" borderId="0" xfId="0" applyFont="1" applyFill="1" applyBorder="1" applyAlignment="1">
      <alignment horizontal="left" vertical="justify"/>
    </xf>
    <xf numFmtId="164" fontId="31" fillId="4" borderId="0" xfId="1" applyNumberFormat="1" applyFont="1" applyFill="1" applyBorder="1" applyAlignment="1"/>
    <xf numFmtId="0" fontId="32" fillId="4" borderId="0" xfId="0" applyFont="1" applyFill="1" applyBorder="1" applyAlignment="1">
      <alignment vertical="top"/>
    </xf>
    <xf numFmtId="164" fontId="32" fillId="4" borderId="0" xfId="1" applyNumberFormat="1" applyFont="1" applyFill="1" applyBorder="1" applyAlignment="1">
      <alignment vertical="top"/>
    </xf>
    <xf numFmtId="164" fontId="31" fillId="4" borderId="0" xfId="1" applyNumberFormat="1" applyFont="1" applyFill="1" applyBorder="1" applyAlignment="1">
      <alignment vertical="top"/>
    </xf>
    <xf numFmtId="0" fontId="31" fillId="4" borderId="0" xfId="0" applyFont="1" applyFill="1" applyBorder="1" applyAlignment="1">
      <alignment horizontal="center" vertical="top"/>
    </xf>
    <xf numFmtId="0" fontId="31" fillId="4" borderId="0" xfId="0" applyFont="1" applyFill="1" applyBorder="1" applyAlignment="1">
      <alignment horizontal="center" vertical="top" wrapText="1"/>
    </xf>
    <xf numFmtId="0" fontId="32" fillId="4" borderId="0" xfId="0" applyFont="1" applyFill="1" applyBorder="1" applyAlignment="1">
      <alignment horizontal="center" vertical="top"/>
    </xf>
    <xf numFmtId="0" fontId="31" fillId="4" borderId="0" xfId="0" applyFont="1" applyFill="1" applyBorder="1" applyAlignment="1">
      <alignment horizontal="right" vertical="top"/>
    </xf>
    <xf numFmtId="0" fontId="31" fillId="4" borderId="0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0" xfId="0" applyFont="1" applyBorder="1" applyAlignment="1">
      <alignment vertical="center"/>
    </xf>
    <xf numFmtId="0" fontId="28" fillId="5" borderId="0" xfId="0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29" fillId="5" borderId="4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"/>
  <sheetViews>
    <sheetView zoomScale="120" zoomScaleNormal="100" workbookViewId="0">
      <selection activeCell="H110" sqref="H110"/>
    </sheetView>
  </sheetViews>
  <sheetFormatPr defaultColWidth="11.7109375" defaultRowHeight="15.75"/>
  <cols>
    <col min="1" max="1" width="13.28515625" style="3" customWidth="1"/>
    <col min="2" max="2" width="4" style="2" customWidth="1"/>
    <col min="3" max="3" width="75.28515625" style="4" customWidth="1"/>
    <col min="4" max="6" width="20" style="5" customWidth="1"/>
    <col min="7" max="7" width="17.140625" style="2" customWidth="1"/>
    <col min="8" max="8" width="17.42578125" style="2" customWidth="1"/>
    <col min="9" max="9" width="16.7109375" style="2" customWidth="1"/>
    <col min="10" max="10" width="15" style="2" customWidth="1"/>
    <col min="11" max="16384" width="11.7109375" style="2"/>
  </cols>
  <sheetData>
    <row r="1" spans="1:8" s="1" customFormat="1" ht="26.1" customHeight="1">
      <c r="A1" s="94" t="s">
        <v>0</v>
      </c>
      <c r="B1" s="94"/>
      <c r="C1" s="6" t="s">
        <v>1</v>
      </c>
      <c r="D1" s="7" t="s">
        <v>2</v>
      </c>
      <c r="E1" s="7" t="s">
        <v>3</v>
      </c>
      <c r="F1" s="7" t="s">
        <v>4</v>
      </c>
    </row>
    <row r="2" spans="1:8" s="1" customFormat="1">
      <c r="A2" s="8">
        <v>2025</v>
      </c>
      <c r="B2" s="9"/>
      <c r="C2" s="10" t="s">
        <v>5</v>
      </c>
      <c r="D2" s="11"/>
      <c r="E2" s="14"/>
      <c r="F2" s="11"/>
    </row>
    <row r="3" spans="1:8">
      <c r="A3" s="12" t="s">
        <v>6</v>
      </c>
      <c r="B3" s="9">
        <v>5</v>
      </c>
      <c r="C3" s="13" t="s">
        <v>7</v>
      </c>
      <c r="D3" s="14">
        <v>40000000</v>
      </c>
      <c r="E3" s="14"/>
      <c r="F3" s="11"/>
    </row>
    <row r="4" spans="1:8">
      <c r="A4" s="12"/>
      <c r="B4" s="9">
        <v>10</v>
      </c>
      <c r="C4" s="13" t="s">
        <v>8</v>
      </c>
      <c r="D4" s="14">
        <v>200000000</v>
      </c>
      <c r="E4" s="14"/>
      <c r="F4" s="11"/>
    </row>
    <row r="5" spans="1:8">
      <c r="A5" s="12"/>
      <c r="B5" s="9"/>
      <c r="C5" s="10" t="s">
        <v>9</v>
      </c>
      <c r="D5" s="14"/>
      <c r="E5" s="14"/>
      <c r="F5" s="22">
        <f>SUM(D3:D4)</f>
        <v>240000000</v>
      </c>
    </row>
    <row r="6" spans="1:8">
      <c r="A6" s="12"/>
      <c r="B6" s="9"/>
      <c r="C6" s="15"/>
      <c r="D6" s="14"/>
      <c r="E6" s="14"/>
      <c r="F6" s="22"/>
    </row>
    <row r="7" spans="1:8">
      <c r="A7" s="12"/>
      <c r="B7" s="9"/>
      <c r="C7" s="10" t="s">
        <v>10</v>
      </c>
      <c r="D7" s="14"/>
      <c r="E7" s="14"/>
      <c r="F7" s="22"/>
    </row>
    <row r="8" spans="1:8">
      <c r="A8" s="12" t="s">
        <v>6</v>
      </c>
      <c r="B8" s="16">
        <v>10</v>
      </c>
      <c r="C8" s="17" t="s">
        <v>11</v>
      </c>
      <c r="D8" s="18"/>
      <c r="E8" s="18">
        <v>40000000</v>
      </c>
      <c r="F8" s="22">
        <f>F5+D8-E8</f>
        <v>200000000</v>
      </c>
    </row>
    <row r="9" spans="1:8">
      <c r="A9" s="12"/>
      <c r="B9" s="16">
        <v>10</v>
      </c>
      <c r="C9" s="19" t="s">
        <v>12</v>
      </c>
      <c r="D9" s="19"/>
      <c r="E9" s="18">
        <v>10000000</v>
      </c>
      <c r="F9" s="22">
        <f>F8+D9-E9</f>
        <v>190000000</v>
      </c>
    </row>
    <row r="10" spans="1:8">
      <c r="A10" s="12"/>
      <c r="B10" s="16">
        <v>11</v>
      </c>
      <c r="C10" s="19" t="s">
        <v>13</v>
      </c>
      <c r="D10" s="19"/>
      <c r="E10" s="18">
        <v>3000000</v>
      </c>
      <c r="F10" s="22">
        <f>F9+D10-E10</f>
        <v>187000000</v>
      </c>
    </row>
    <row r="11" spans="1:8">
      <c r="A11" s="12"/>
      <c r="B11" s="16">
        <v>16</v>
      </c>
      <c r="C11" s="19" t="s">
        <v>15</v>
      </c>
      <c r="D11" s="19"/>
      <c r="E11" s="18">
        <v>250000</v>
      </c>
      <c r="F11" s="22">
        <f t="shared" ref="F11:F79" si="0">F10+D11-E11</f>
        <v>186750000</v>
      </c>
    </row>
    <row r="12" spans="1:8">
      <c r="A12" s="12"/>
      <c r="B12" s="16">
        <v>16</v>
      </c>
      <c r="C12" s="19" t="s">
        <v>16</v>
      </c>
      <c r="D12" s="19"/>
      <c r="E12" s="18">
        <v>500000</v>
      </c>
      <c r="F12" s="22">
        <f t="shared" si="0"/>
        <v>186250000</v>
      </c>
    </row>
    <row r="13" spans="1:8">
      <c r="A13" s="12"/>
      <c r="B13" s="16">
        <v>16</v>
      </c>
      <c r="C13" s="28" t="s">
        <v>17</v>
      </c>
      <c r="D13" s="19"/>
      <c r="E13" s="18"/>
      <c r="F13" s="22">
        <f>F12+D13-E13</f>
        <v>186250000</v>
      </c>
    </row>
    <row r="14" spans="1:8">
      <c r="A14" s="12"/>
      <c r="B14" s="16"/>
      <c r="C14" s="26" t="s">
        <v>18</v>
      </c>
      <c r="D14" s="19"/>
      <c r="E14" s="18">
        <f>33*50000</f>
        <v>1650000</v>
      </c>
      <c r="F14" s="22">
        <f t="shared" si="0"/>
        <v>184600000</v>
      </c>
      <c r="H14" s="25">
        <f>SUM(E14:E48)</f>
        <v>29771000</v>
      </c>
    </row>
    <row r="15" spans="1:8">
      <c r="A15" s="12"/>
      <c r="B15" s="16"/>
      <c r="C15" s="26" t="s">
        <v>19</v>
      </c>
      <c r="D15" s="19"/>
      <c r="E15" s="18">
        <f>117*23000</f>
        <v>2691000</v>
      </c>
      <c r="F15" s="22">
        <f t="shared" si="0"/>
        <v>181909000</v>
      </c>
    </row>
    <row r="16" spans="1:8">
      <c r="A16" s="12"/>
      <c r="B16" s="16"/>
      <c r="C16" s="26" t="s">
        <v>20</v>
      </c>
      <c r="D16" s="19"/>
      <c r="E16" s="18">
        <f>43*60000</f>
        <v>2580000</v>
      </c>
      <c r="F16" s="22">
        <f t="shared" si="0"/>
        <v>179329000</v>
      </c>
    </row>
    <row r="17" spans="1:6">
      <c r="A17" s="12"/>
      <c r="B17" s="16">
        <v>16</v>
      </c>
      <c r="C17" s="27" t="s">
        <v>21</v>
      </c>
      <c r="D17" s="19"/>
      <c r="E17" s="18"/>
      <c r="F17" s="22">
        <f t="shared" si="0"/>
        <v>179329000</v>
      </c>
    </row>
    <row r="18" spans="1:6">
      <c r="A18" s="12"/>
      <c r="B18" s="16"/>
      <c r="C18" s="27" t="s">
        <v>57</v>
      </c>
      <c r="D18" s="19"/>
      <c r="E18" s="18">
        <f>2*350000</f>
        <v>700000</v>
      </c>
      <c r="F18" s="22">
        <f t="shared" si="0"/>
        <v>178629000</v>
      </c>
    </row>
    <row r="19" spans="1:6">
      <c r="A19" s="12"/>
      <c r="B19" s="16"/>
      <c r="C19" s="27" t="s">
        <v>22</v>
      </c>
      <c r="D19" s="19"/>
      <c r="E19" s="18">
        <f>10*320000</f>
        <v>3200000</v>
      </c>
      <c r="F19" s="22">
        <f t="shared" si="0"/>
        <v>175429000</v>
      </c>
    </row>
    <row r="20" spans="1:6">
      <c r="A20" s="12"/>
      <c r="B20" s="16">
        <v>16</v>
      </c>
      <c r="C20" s="27" t="s">
        <v>23</v>
      </c>
      <c r="D20" s="19"/>
      <c r="E20" s="18"/>
      <c r="F20" s="22">
        <f t="shared" si="0"/>
        <v>175429000</v>
      </c>
    </row>
    <row r="21" spans="1:6">
      <c r="A21" s="12"/>
      <c r="B21" s="16"/>
      <c r="C21" s="27" t="s">
        <v>24</v>
      </c>
      <c r="D21" s="19"/>
      <c r="E21" s="18">
        <f>150*15000</f>
        <v>2250000</v>
      </c>
      <c r="F21" s="22">
        <f t="shared" si="0"/>
        <v>173179000</v>
      </c>
    </row>
    <row r="22" spans="1:6">
      <c r="A22" s="12"/>
      <c r="B22" s="16">
        <v>16</v>
      </c>
      <c r="C22" s="27" t="s">
        <v>25</v>
      </c>
      <c r="D22" s="19"/>
      <c r="E22" s="18"/>
      <c r="F22" s="22">
        <f t="shared" si="0"/>
        <v>173179000</v>
      </c>
    </row>
    <row r="23" spans="1:6">
      <c r="A23" s="12"/>
      <c r="B23" s="16"/>
      <c r="C23" s="27" t="s">
        <v>26</v>
      </c>
      <c r="D23" s="19"/>
      <c r="E23" s="18">
        <f>5.5*150000</f>
        <v>825000</v>
      </c>
      <c r="F23" s="22">
        <f t="shared" si="0"/>
        <v>172354000</v>
      </c>
    </row>
    <row r="24" spans="1:6">
      <c r="A24" s="12"/>
      <c r="B24" s="16"/>
      <c r="C24" s="27" t="s">
        <v>27</v>
      </c>
      <c r="D24" s="19"/>
      <c r="E24" s="18">
        <f>1*150000</f>
        <v>150000</v>
      </c>
      <c r="F24" s="22">
        <f t="shared" si="0"/>
        <v>172204000</v>
      </c>
    </row>
    <row r="25" spans="1:6">
      <c r="A25" s="12"/>
      <c r="B25" s="16"/>
      <c r="C25" s="27" t="s">
        <v>28</v>
      </c>
      <c r="D25" s="19"/>
      <c r="E25" s="18">
        <f>5.5*150000</f>
        <v>825000</v>
      </c>
      <c r="F25" s="22">
        <f t="shared" si="0"/>
        <v>171379000</v>
      </c>
    </row>
    <row r="26" spans="1:6">
      <c r="A26" s="12"/>
      <c r="B26" s="16"/>
      <c r="C26" s="27" t="s">
        <v>29</v>
      </c>
      <c r="D26" s="19"/>
      <c r="E26" s="18">
        <f>1*150000</f>
        <v>150000</v>
      </c>
      <c r="F26" s="22">
        <f t="shared" si="0"/>
        <v>171229000</v>
      </c>
    </row>
    <row r="27" spans="1:6">
      <c r="A27" s="12"/>
      <c r="B27" s="16"/>
      <c r="C27" s="27" t="s">
        <v>30</v>
      </c>
      <c r="D27" s="19"/>
      <c r="E27" s="18">
        <f>5.5*150000</f>
        <v>825000</v>
      </c>
      <c r="F27" s="22">
        <f t="shared" si="0"/>
        <v>170404000</v>
      </c>
    </row>
    <row r="28" spans="1:6">
      <c r="A28" s="12"/>
      <c r="B28" s="16"/>
      <c r="C28" s="27" t="s">
        <v>31</v>
      </c>
      <c r="D28" s="19"/>
      <c r="E28" s="18">
        <f>5.5*150000</f>
        <v>825000</v>
      </c>
      <c r="F28" s="22">
        <f t="shared" si="0"/>
        <v>169579000</v>
      </c>
    </row>
    <row r="29" spans="1:6">
      <c r="A29" s="12"/>
      <c r="B29" s="16"/>
      <c r="C29" s="27" t="s">
        <v>32</v>
      </c>
      <c r="D29" s="19"/>
      <c r="E29" s="18">
        <f>4.5*150000</f>
        <v>675000</v>
      </c>
      <c r="F29" s="22">
        <f t="shared" si="0"/>
        <v>168904000</v>
      </c>
    </row>
    <row r="30" spans="1:6">
      <c r="A30" s="12"/>
      <c r="B30" s="16"/>
      <c r="C30" s="27" t="s">
        <v>33</v>
      </c>
      <c r="D30" s="19"/>
      <c r="E30" s="18">
        <f>5.5*150000</f>
        <v>825000</v>
      </c>
      <c r="F30" s="22">
        <f t="shared" si="0"/>
        <v>168079000</v>
      </c>
    </row>
    <row r="31" spans="1:6">
      <c r="A31" s="12"/>
      <c r="B31" s="16"/>
      <c r="C31" s="27" t="s">
        <v>34</v>
      </c>
      <c r="D31" s="19"/>
      <c r="E31" s="18">
        <f>5.5*150000</f>
        <v>825000</v>
      </c>
      <c r="F31" s="22">
        <f t="shared" si="0"/>
        <v>167254000</v>
      </c>
    </row>
    <row r="32" spans="1:6">
      <c r="A32" s="12"/>
      <c r="B32" s="16"/>
      <c r="C32" s="27" t="s">
        <v>35</v>
      </c>
      <c r="D32" s="19"/>
      <c r="E32" s="18">
        <f>4.5*150000</f>
        <v>675000</v>
      </c>
      <c r="F32" s="22">
        <f t="shared" si="0"/>
        <v>166579000</v>
      </c>
    </row>
    <row r="33" spans="1:8">
      <c r="A33" s="12"/>
      <c r="B33" s="16"/>
      <c r="C33" s="27" t="s">
        <v>36</v>
      </c>
      <c r="D33" s="19"/>
      <c r="E33" s="18">
        <f>4.5*150000</f>
        <v>675000</v>
      </c>
      <c r="F33" s="22">
        <f t="shared" si="0"/>
        <v>165904000</v>
      </c>
    </row>
    <row r="34" spans="1:8">
      <c r="A34" s="12"/>
      <c r="B34" s="16"/>
      <c r="C34" s="27" t="s">
        <v>37</v>
      </c>
      <c r="D34" s="19"/>
      <c r="E34" s="18">
        <f>2.5*150000</f>
        <v>375000</v>
      </c>
      <c r="F34" s="22">
        <f t="shared" si="0"/>
        <v>165529000</v>
      </c>
    </row>
    <row r="35" spans="1:8">
      <c r="A35" s="12"/>
      <c r="B35" s="16"/>
      <c r="C35" s="27" t="s">
        <v>38</v>
      </c>
      <c r="D35" s="19"/>
      <c r="E35" s="18">
        <f>1*150000</f>
        <v>150000</v>
      </c>
      <c r="F35" s="22">
        <f t="shared" si="0"/>
        <v>165379000</v>
      </c>
    </row>
    <row r="36" spans="1:8">
      <c r="A36" s="12"/>
      <c r="B36" s="16">
        <v>16</v>
      </c>
      <c r="C36" s="27" t="s">
        <v>39</v>
      </c>
      <c r="D36" s="19"/>
      <c r="E36" s="18"/>
      <c r="F36" s="22">
        <f t="shared" si="0"/>
        <v>165379000</v>
      </c>
    </row>
    <row r="37" spans="1:8">
      <c r="A37" s="12"/>
      <c r="B37" s="16"/>
      <c r="C37" s="27" t="s">
        <v>44</v>
      </c>
      <c r="D37" s="19"/>
      <c r="E37" s="18">
        <f>3*350000</f>
        <v>1050000</v>
      </c>
      <c r="F37" s="22">
        <f t="shared" si="0"/>
        <v>164329000</v>
      </c>
      <c r="H37" s="25"/>
    </row>
    <row r="38" spans="1:8">
      <c r="A38" s="12"/>
      <c r="B38" s="16"/>
      <c r="C38" s="27" t="s">
        <v>48</v>
      </c>
      <c r="D38" s="19"/>
      <c r="E38" s="18">
        <f>10*56000</f>
        <v>560000</v>
      </c>
      <c r="F38" s="22">
        <f t="shared" si="0"/>
        <v>163769000</v>
      </c>
    </row>
    <row r="39" spans="1:8">
      <c r="A39" s="12"/>
      <c r="B39" s="16"/>
      <c r="C39" s="27" t="s">
        <v>45</v>
      </c>
      <c r="D39" s="19"/>
      <c r="E39" s="18">
        <f>35*55000</f>
        <v>1925000</v>
      </c>
      <c r="F39" s="22">
        <f t="shared" si="0"/>
        <v>161844000</v>
      </c>
      <c r="H39" s="25"/>
    </row>
    <row r="40" spans="1:8">
      <c r="A40" s="12"/>
      <c r="B40" s="16"/>
      <c r="C40" s="27" t="s">
        <v>63</v>
      </c>
      <c r="D40" s="19"/>
      <c r="E40" s="18">
        <f>60*75000</f>
        <v>4500000</v>
      </c>
      <c r="F40" s="22">
        <f t="shared" si="0"/>
        <v>157344000</v>
      </c>
      <c r="H40" s="25"/>
    </row>
    <row r="41" spans="1:8">
      <c r="A41" s="12"/>
      <c r="B41" s="16"/>
      <c r="C41" s="27" t="s">
        <v>46</v>
      </c>
      <c r="D41" s="19"/>
      <c r="E41" s="18">
        <f>550000</f>
        <v>550000</v>
      </c>
      <c r="F41" s="22">
        <f t="shared" si="0"/>
        <v>156794000</v>
      </c>
      <c r="H41" s="25"/>
    </row>
    <row r="42" spans="1:8">
      <c r="A42" s="12"/>
      <c r="B42" s="16"/>
      <c r="C42" s="27" t="s">
        <v>47</v>
      </c>
      <c r="D42" s="19"/>
      <c r="E42" s="18">
        <f>7*15000</f>
        <v>105000</v>
      </c>
      <c r="F42" s="22">
        <f t="shared" si="0"/>
        <v>156689000</v>
      </c>
      <c r="H42" s="25"/>
    </row>
    <row r="43" spans="1:8">
      <c r="A43" s="12"/>
      <c r="B43" s="16"/>
      <c r="C43" s="27" t="s">
        <v>49</v>
      </c>
      <c r="D43" s="19"/>
      <c r="E43" s="18">
        <f>20000</f>
        <v>20000</v>
      </c>
      <c r="F43" s="22">
        <f t="shared" si="0"/>
        <v>156669000</v>
      </c>
      <c r="H43" s="25"/>
    </row>
    <row r="44" spans="1:8">
      <c r="A44" s="12"/>
      <c r="B44" s="16"/>
      <c r="C44" s="27" t="s">
        <v>50</v>
      </c>
      <c r="D44" s="19"/>
      <c r="E44" s="18">
        <f>15*5000</f>
        <v>75000</v>
      </c>
      <c r="F44" s="22">
        <f t="shared" si="0"/>
        <v>156594000</v>
      </c>
    </row>
    <row r="45" spans="1:8">
      <c r="A45" s="12"/>
      <c r="B45" s="16"/>
      <c r="C45" s="27" t="s">
        <v>51</v>
      </c>
      <c r="D45" s="19"/>
      <c r="E45" s="18">
        <f>3*10000</f>
        <v>30000</v>
      </c>
      <c r="F45" s="22">
        <f t="shared" si="0"/>
        <v>156564000</v>
      </c>
      <c r="H45" s="25"/>
    </row>
    <row r="46" spans="1:8">
      <c r="A46" s="12"/>
      <c r="B46" s="16"/>
      <c r="C46" s="27" t="s">
        <v>52</v>
      </c>
      <c r="D46" s="19"/>
      <c r="E46" s="18">
        <f>15000</f>
        <v>15000</v>
      </c>
      <c r="F46" s="22">
        <f t="shared" si="0"/>
        <v>156549000</v>
      </c>
    </row>
    <row r="47" spans="1:8">
      <c r="A47" s="12"/>
      <c r="B47" s="16"/>
      <c r="C47" s="27" t="s">
        <v>53</v>
      </c>
      <c r="D47" s="19"/>
      <c r="E47" s="18">
        <f>10*3000</f>
        <v>30000</v>
      </c>
      <c r="F47" s="22">
        <f t="shared" si="0"/>
        <v>156519000</v>
      </c>
    </row>
    <row r="48" spans="1:8">
      <c r="A48" s="12"/>
      <c r="B48" s="16"/>
      <c r="C48" s="27" t="s">
        <v>54</v>
      </c>
      <c r="D48" s="19"/>
      <c r="E48" s="18">
        <f>2*20000</f>
        <v>40000</v>
      </c>
      <c r="F48" s="22">
        <f t="shared" si="0"/>
        <v>156479000</v>
      </c>
    </row>
    <row r="49" spans="1:6" s="36" customFormat="1" ht="18.75">
      <c r="A49" s="31"/>
      <c r="B49" s="32"/>
      <c r="C49" s="33" t="s">
        <v>88</v>
      </c>
      <c r="D49" s="34">
        <f>SUM(D2:D48)</f>
        <v>240000000</v>
      </c>
      <c r="E49" s="34">
        <f>SUM(E2:E48)</f>
        <v>83521000</v>
      </c>
      <c r="F49" s="35">
        <f>D49-E49</f>
        <v>156479000</v>
      </c>
    </row>
    <row r="50" spans="1:6">
      <c r="A50" s="5"/>
      <c r="B50" s="5"/>
      <c r="C50" s="5"/>
    </row>
    <row r="51" spans="1:6">
      <c r="A51" s="5"/>
      <c r="B51" s="5"/>
      <c r="C51" s="5"/>
    </row>
    <row r="52" spans="1:6">
      <c r="A52" s="94" t="s">
        <v>0</v>
      </c>
      <c r="B52" s="94"/>
      <c r="C52" s="6" t="s">
        <v>1</v>
      </c>
      <c r="D52" s="7" t="s">
        <v>2</v>
      </c>
      <c r="E52" s="7" t="s">
        <v>3</v>
      </c>
      <c r="F52" s="7" t="s">
        <v>4</v>
      </c>
    </row>
    <row r="53" spans="1:6">
      <c r="A53" s="8">
        <v>2025</v>
      </c>
      <c r="B53" s="9"/>
      <c r="C53" s="10" t="s">
        <v>87</v>
      </c>
      <c r="D53" s="11">
        <f>D49</f>
        <v>240000000</v>
      </c>
      <c r="E53" s="11">
        <f t="shared" ref="E53:F53" si="1">E49</f>
        <v>83521000</v>
      </c>
      <c r="F53" s="11">
        <f t="shared" si="1"/>
        <v>156479000</v>
      </c>
    </row>
    <row r="54" spans="1:6">
      <c r="A54" s="12"/>
      <c r="B54" s="16">
        <v>16</v>
      </c>
      <c r="C54" s="27" t="s">
        <v>40</v>
      </c>
      <c r="D54" s="19"/>
      <c r="E54" s="18"/>
      <c r="F54" s="22">
        <f t="shared" si="0"/>
        <v>156479000</v>
      </c>
    </row>
    <row r="55" spans="1:6">
      <c r="A55" s="12"/>
      <c r="B55" s="16"/>
      <c r="C55" s="39" t="s">
        <v>57</v>
      </c>
      <c r="D55" s="19"/>
      <c r="E55" s="18">
        <f>2*350000</f>
        <v>700000</v>
      </c>
      <c r="F55" s="22">
        <f t="shared" si="0"/>
        <v>155779000</v>
      </c>
    </row>
    <row r="56" spans="1:6">
      <c r="A56" s="12"/>
      <c r="B56" s="16"/>
      <c r="C56" s="27" t="s">
        <v>55</v>
      </c>
      <c r="D56" s="19"/>
      <c r="E56" s="18">
        <f>9*55000</f>
        <v>495000</v>
      </c>
      <c r="F56" s="22">
        <f t="shared" si="0"/>
        <v>155284000</v>
      </c>
    </row>
    <row r="57" spans="1:6">
      <c r="A57" s="12"/>
      <c r="B57" s="16"/>
      <c r="C57" s="27" t="s">
        <v>48</v>
      </c>
      <c r="D57" s="19"/>
      <c r="E57" s="18">
        <f>10*56000</f>
        <v>560000</v>
      </c>
      <c r="F57" s="22">
        <f t="shared" si="0"/>
        <v>154724000</v>
      </c>
    </row>
    <row r="58" spans="1:6">
      <c r="A58" s="12"/>
      <c r="B58" s="16"/>
      <c r="C58" s="27" t="s">
        <v>56</v>
      </c>
      <c r="D58" s="19"/>
      <c r="E58" s="18">
        <f>4*65000</f>
        <v>260000</v>
      </c>
      <c r="F58" s="22">
        <f t="shared" si="0"/>
        <v>154464000</v>
      </c>
    </row>
    <row r="59" spans="1:6">
      <c r="A59" s="12"/>
      <c r="B59" s="16">
        <v>16</v>
      </c>
      <c r="C59" s="27" t="s">
        <v>41</v>
      </c>
      <c r="D59" s="19"/>
      <c r="E59" s="18"/>
      <c r="F59" s="22">
        <f t="shared" si="0"/>
        <v>154464000</v>
      </c>
    </row>
    <row r="60" spans="1:6">
      <c r="A60" s="12"/>
      <c r="B60" s="16"/>
      <c r="C60" s="27" t="s">
        <v>58</v>
      </c>
      <c r="D60" s="19"/>
      <c r="E60" s="18">
        <f>5*350000</f>
        <v>1750000</v>
      </c>
      <c r="F60" s="22">
        <f t="shared" si="0"/>
        <v>152714000</v>
      </c>
    </row>
    <row r="61" spans="1:6">
      <c r="A61" s="12"/>
      <c r="B61" s="16"/>
      <c r="C61" s="27" t="s">
        <v>59</v>
      </c>
      <c r="D61" s="19"/>
      <c r="E61" s="18">
        <f>55000</f>
        <v>55000</v>
      </c>
      <c r="F61" s="22">
        <f t="shared" si="0"/>
        <v>152659000</v>
      </c>
    </row>
    <row r="62" spans="1:6">
      <c r="A62" s="12"/>
      <c r="B62" s="16"/>
      <c r="C62" s="27" t="s">
        <v>48</v>
      </c>
      <c r="D62" s="19"/>
      <c r="E62" s="18">
        <f>10*56000</f>
        <v>560000</v>
      </c>
      <c r="F62" s="22">
        <f t="shared" si="0"/>
        <v>152099000</v>
      </c>
    </row>
    <row r="63" spans="1:6">
      <c r="A63" s="12"/>
      <c r="B63" s="16"/>
      <c r="C63" s="27" t="s">
        <v>60</v>
      </c>
      <c r="D63" s="19"/>
      <c r="E63" s="18">
        <f>9*5000</f>
        <v>45000</v>
      </c>
      <c r="F63" s="22">
        <f t="shared" si="0"/>
        <v>152054000</v>
      </c>
    </row>
    <row r="64" spans="1:6">
      <c r="A64" s="12"/>
      <c r="B64" s="16">
        <v>16</v>
      </c>
      <c r="C64" s="27" t="s">
        <v>42</v>
      </c>
      <c r="D64" s="19"/>
      <c r="E64" s="18"/>
      <c r="F64" s="22">
        <f t="shared" si="0"/>
        <v>152054000</v>
      </c>
    </row>
    <row r="65" spans="1:8">
      <c r="A65" s="12"/>
      <c r="B65" s="16"/>
      <c r="C65" s="27" t="s">
        <v>48</v>
      </c>
      <c r="D65" s="19"/>
      <c r="E65" s="18">
        <f>10*56000</f>
        <v>560000</v>
      </c>
      <c r="F65" s="22">
        <f t="shared" si="0"/>
        <v>151494000</v>
      </c>
    </row>
    <row r="66" spans="1:8">
      <c r="A66" s="12"/>
      <c r="B66" s="16">
        <v>16</v>
      </c>
      <c r="C66" s="27" t="s">
        <v>43</v>
      </c>
      <c r="D66" s="19"/>
      <c r="E66" s="18"/>
      <c r="F66" s="22">
        <f t="shared" si="0"/>
        <v>151494000</v>
      </c>
    </row>
    <row r="67" spans="1:8">
      <c r="A67" s="12"/>
      <c r="B67" s="16"/>
      <c r="C67" s="27" t="s">
        <v>58</v>
      </c>
      <c r="D67" s="19"/>
      <c r="E67" s="18">
        <f>5*350000</f>
        <v>1750000</v>
      </c>
      <c r="F67" s="22">
        <f t="shared" si="0"/>
        <v>149744000</v>
      </c>
    </row>
    <row r="68" spans="1:8">
      <c r="A68" s="12"/>
      <c r="B68" s="16"/>
      <c r="C68" s="27" t="s">
        <v>61</v>
      </c>
      <c r="D68" s="19"/>
      <c r="E68" s="18">
        <f>2*15000</f>
        <v>30000</v>
      </c>
      <c r="F68" s="22">
        <f t="shared" si="0"/>
        <v>149714000</v>
      </c>
    </row>
    <row r="69" spans="1:8">
      <c r="A69" s="12"/>
      <c r="B69" s="16"/>
      <c r="C69" s="27" t="s">
        <v>64</v>
      </c>
      <c r="D69" s="19"/>
      <c r="E69" s="18">
        <f>10*75000</f>
        <v>750000</v>
      </c>
      <c r="F69" s="22">
        <f t="shared" si="0"/>
        <v>148964000</v>
      </c>
    </row>
    <row r="70" spans="1:8">
      <c r="A70" s="12"/>
      <c r="B70" s="16">
        <v>16</v>
      </c>
      <c r="C70" s="27" t="s">
        <v>62</v>
      </c>
      <c r="D70" s="19"/>
      <c r="E70" s="18">
        <v>6500</v>
      </c>
      <c r="F70" s="22">
        <f t="shared" si="0"/>
        <v>148957500</v>
      </c>
    </row>
    <row r="71" spans="1:8">
      <c r="A71" s="12"/>
      <c r="B71" s="16">
        <v>22</v>
      </c>
      <c r="C71" s="29" t="s">
        <v>65</v>
      </c>
      <c r="D71" s="19"/>
      <c r="E71" s="18"/>
      <c r="F71" s="22">
        <f t="shared" si="0"/>
        <v>148957500</v>
      </c>
    </row>
    <row r="72" spans="1:8">
      <c r="A72" s="12"/>
      <c r="B72" s="16"/>
      <c r="C72" s="29" t="s">
        <v>66</v>
      </c>
      <c r="D72" s="19"/>
      <c r="E72" s="18">
        <f t="shared" ref="E72:E80" si="2">5*150000</f>
        <v>750000</v>
      </c>
      <c r="F72" s="22">
        <f t="shared" si="0"/>
        <v>148207500</v>
      </c>
      <c r="H72" s="25"/>
    </row>
    <row r="73" spans="1:8">
      <c r="A73" s="12"/>
      <c r="B73" s="16"/>
      <c r="C73" s="29" t="s">
        <v>71</v>
      </c>
      <c r="D73" s="19"/>
      <c r="E73" s="18">
        <f t="shared" si="2"/>
        <v>750000</v>
      </c>
      <c r="F73" s="22">
        <f t="shared" si="0"/>
        <v>147457500</v>
      </c>
    </row>
    <row r="74" spans="1:8">
      <c r="A74" s="12"/>
      <c r="B74" s="16"/>
      <c r="C74" s="29" t="s">
        <v>67</v>
      </c>
      <c r="D74" s="19"/>
      <c r="E74" s="18">
        <f t="shared" si="2"/>
        <v>750000</v>
      </c>
      <c r="F74" s="22">
        <f t="shared" si="0"/>
        <v>146707500</v>
      </c>
    </row>
    <row r="75" spans="1:8">
      <c r="A75" s="12"/>
      <c r="B75" s="16"/>
      <c r="C75" s="29" t="s">
        <v>68</v>
      </c>
      <c r="D75" s="19"/>
      <c r="E75" s="18">
        <f t="shared" si="2"/>
        <v>750000</v>
      </c>
      <c r="F75" s="22">
        <f t="shared" si="0"/>
        <v>145957500</v>
      </c>
    </row>
    <row r="76" spans="1:8">
      <c r="A76" s="12"/>
      <c r="B76" s="16"/>
      <c r="C76" s="29" t="s">
        <v>72</v>
      </c>
      <c r="D76" s="19"/>
      <c r="E76" s="18">
        <f t="shared" si="2"/>
        <v>750000</v>
      </c>
      <c r="F76" s="22">
        <f t="shared" si="0"/>
        <v>145207500</v>
      </c>
    </row>
    <row r="77" spans="1:8">
      <c r="A77" s="12"/>
      <c r="B77" s="16"/>
      <c r="C77" s="29" t="s">
        <v>69</v>
      </c>
      <c r="D77" s="19"/>
      <c r="E77" s="18">
        <f t="shared" si="2"/>
        <v>750000</v>
      </c>
      <c r="F77" s="22">
        <f t="shared" si="0"/>
        <v>144457500</v>
      </c>
    </row>
    <row r="78" spans="1:8">
      <c r="A78" s="12"/>
      <c r="B78" s="16"/>
      <c r="C78" s="29" t="s">
        <v>70</v>
      </c>
      <c r="D78" s="19"/>
      <c r="E78" s="18">
        <f t="shared" si="2"/>
        <v>750000</v>
      </c>
      <c r="F78" s="22">
        <f t="shared" si="0"/>
        <v>143707500</v>
      </c>
    </row>
    <row r="79" spans="1:8">
      <c r="A79" s="12"/>
      <c r="B79" s="16"/>
      <c r="C79" s="29" t="s">
        <v>73</v>
      </c>
      <c r="D79" s="19"/>
      <c r="E79" s="18">
        <f t="shared" si="2"/>
        <v>750000</v>
      </c>
      <c r="F79" s="22">
        <f t="shared" si="0"/>
        <v>142957500</v>
      </c>
    </row>
    <row r="80" spans="1:8">
      <c r="A80" s="12"/>
      <c r="B80" s="16"/>
      <c r="C80" s="29" t="s">
        <v>74</v>
      </c>
      <c r="D80" s="19"/>
      <c r="E80" s="18">
        <f t="shared" si="2"/>
        <v>750000</v>
      </c>
      <c r="F80" s="22">
        <f t="shared" ref="F80:F92" si="3">F79+D80-E80</f>
        <v>142207500</v>
      </c>
    </row>
    <row r="81" spans="1:10">
      <c r="A81" s="12"/>
      <c r="B81" s="16"/>
      <c r="C81" s="29" t="s">
        <v>75</v>
      </c>
      <c r="D81" s="19"/>
      <c r="E81" s="18">
        <f>3*150000</f>
        <v>450000</v>
      </c>
      <c r="F81" s="22">
        <f t="shared" si="3"/>
        <v>141757500</v>
      </c>
    </row>
    <row r="82" spans="1:10">
      <c r="A82" s="12"/>
      <c r="B82" s="16"/>
      <c r="C82" s="29" t="s">
        <v>76</v>
      </c>
      <c r="D82" s="19"/>
      <c r="E82" s="18">
        <f>5*150000</f>
        <v>750000</v>
      </c>
      <c r="F82" s="22">
        <f t="shared" si="3"/>
        <v>141007500</v>
      </c>
    </row>
    <row r="83" spans="1:10">
      <c r="A83" s="12"/>
      <c r="B83" s="16">
        <v>22</v>
      </c>
      <c r="C83" s="30" t="s">
        <v>77</v>
      </c>
      <c r="D83" s="19"/>
      <c r="E83" s="18"/>
      <c r="F83" s="22">
        <f t="shared" si="3"/>
        <v>141007500</v>
      </c>
    </row>
    <row r="84" spans="1:10">
      <c r="A84" s="12"/>
      <c r="B84" s="16"/>
      <c r="C84" s="30" t="s">
        <v>78</v>
      </c>
      <c r="D84" s="19"/>
      <c r="E84" s="18">
        <f>174*23000</f>
        <v>4002000</v>
      </c>
      <c r="F84" s="22">
        <f t="shared" si="3"/>
        <v>137005500</v>
      </c>
    </row>
    <row r="85" spans="1:10">
      <c r="A85" s="12"/>
      <c r="B85" s="16">
        <v>22</v>
      </c>
      <c r="C85" s="30" t="s">
        <v>79</v>
      </c>
      <c r="D85" s="19"/>
      <c r="E85" s="18"/>
      <c r="F85" s="22">
        <f t="shared" si="3"/>
        <v>137005500</v>
      </c>
    </row>
    <row r="86" spans="1:10">
      <c r="A86" s="12"/>
      <c r="B86" s="16"/>
      <c r="C86" s="30" t="s">
        <v>80</v>
      </c>
      <c r="D86" s="19"/>
      <c r="E86" s="18">
        <f>149*23000</f>
        <v>3427000</v>
      </c>
      <c r="F86" s="22">
        <f t="shared" si="3"/>
        <v>133578500</v>
      </c>
    </row>
    <row r="87" spans="1:10">
      <c r="A87" s="12"/>
      <c r="B87" s="16">
        <v>22</v>
      </c>
      <c r="C87" s="30" t="s">
        <v>81</v>
      </c>
      <c r="D87" s="19"/>
      <c r="E87" s="18"/>
      <c r="F87" s="22">
        <f t="shared" si="3"/>
        <v>133578500</v>
      </c>
    </row>
    <row r="88" spans="1:10">
      <c r="A88" s="12"/>
      <c r="B88" s="16"/>
      <c r="C88" s="30" t="s">
        <v>83</v>
      </c>
      <c r="D88" s="19"/>
      <c r="E88" s="18">
        <f>57*50000</f>
        <v>2850000</v>
      </c>
      <c r="F88" s="22">
        <f t="shared" si="3"/>
        <v>130728500</v>
      </c>
      <c r="H88" s="25"/>
    </row>
    <row r="89" spans="1:10">
      <c r="A89" s="12"/>
      <c r="B89" s="16"/>
      <c r="C89" s="30" t="s">
        <v>82</v>
      </c>
      <c r="D89" s="19"/>
      <c r="E89" s="18">
        <f>89*23000</f>
        <v>2047000</v>
      </c>
      <c r="F89" s="22">
        <f t="shared" si="3"/>
        <v>128681500</v>
      </c>
    </row>
    <row r="90" spans="1:10">
      <c r="A90" s="12"/>
      <c r="B90" s="16">
        <v>22</v>
      </c>
      <c r="C90" s="30" t="s">
        <v>84</v>
      </c>
      <c r="D90" s="19"/>
      <c r="E90" s="18"/>
      <c r="F90" s="22">
        <f t="shared" si="3"/>
        <v>128681500</v>
      </c>
    </row>
    <row r="91" spans="1:10">
      <c r="A91" s="12"/>
      <c r="B91" s="16"/>
      <c r="C91" s="30" t="s">
        <v>85</v>
      </c>
      <c r="D91" s="19"/>
      <c r="E91" s="18">
        <v>500000</v>
      </c>
      <c r="F91" s="22">
        <f t="shared" si="3"/>
        <v>128181500</v>
      </c>
    </row>
    <row r="92" spans="1:10">
      <c r="A92" s="12"/>
      <c r="B92" s="16">
        <v>22</v>
      </c>
      <c r="C92" s="29" t="s">
        <v>86</v>
      </c>
      <c r="D92" s="19"/>
      <c r="E92" s="18">
        <f>80000+70000</f>
        <v>150000</v>
      </c>
      <c r="F92" s="22">
        <f t="shared" si="3"/>
        <v>128031500</v>
      </c>
      <c r="H92" s="25"/>
    </row>
    <row r="93" spans="1:10">
      <c r="A93" s="20"/>
      <c r="B93" s="16"/>
      <c r="C93" s="21" t="s">
        <v>88</v>
      </c>
      <c r="D93" s="22">
        <f>SUM(D53:D92)</f>
        <v>240000000</v>
      </c>
      <c r="E93" s="22">
        <f>SUM(E53:E92)</f>
        <v>111968500</v>
      </c>
      <c r="F93" s="24">
        <f>D93-E93</f>
        <v>128031500</v>
      </c>
      <c r="H93" s="25">
        <f>SUM(E55:E92)</f>
        <v>28447500</v>
      </c>
    </row>
    <row r="94" spans="1:10">
      <c r="H94" s="25"/>
    </row>
    <row r="95" spans="1:10">
      <c r="A95" s="2"/>
      <c r="C95" s="2"/>
      <c r="D95" s="23"/>
      <c r="E95" s="23"/>
      <c r="F95" s="2"/>
      <c r="G95" s="95"/>
      <c r="H95" s="95"/>
      <c r="I95" s="95"/>
      <c r="J95" s="95"/>
    </row>
    <row r="96" spans="1:10">
      <c r="A96" s="94" t="s">
        <v>0</v>
      </c>
      <c r="B96" s="94"/>
      <c r="C96" s="6" t="s">
        <v>1</v>
      </c>
      <c r="D96" s="7" t="s">
        <v>2</v>
      </c>
      <c r="E96" s="7" t="s">
        <v>3</v>
      </c>
      <c r="F96" s="7" t="s">
        <v>4</v>
      </c>
      <c r="G96" s="95"/>
      <c r="H96" s="95"/>
      <c r="I96" s="95"/>
      <c r="J96" s="95"/>
    </row>
    <row r="97" spans="1:10">
      <c r="A97" s="8">
        <v>2025</v>
      </c>
      <c r="B97" s="9"/>
      <c r="C97" s="10" t="s">
        <v>87</v>
      </c>
      <c r="D97" s="11">
        <f>D93</f>
        <v>240000000</v>
      </c>
      <c r="E97" s="11">
        <f t="shared" ref="E97:F97" si="4">E93</f>
        <v>111968500</v>
      </c>
      <c r="F97" s="11">
        <f t="shared" si="4"/>
        <v>128031500</v>
      </c>
      <c r="G97" s="95"/>
      <c r="H97" s="95"/>
      <c r="I97" s="95"/>
      <c r="J97" s="95"/>
    </row>
    <row r="98" spans="1:10">
      <c r="A98" s="12"/>
      <c r="B98" s="16">
        <v>24</v>
      </c>
      <c r="C98" s="40" t="s">
        <v>97</v>
      </c>
      <c r="D98" s="19"/>
      <c r="E98" s="18"/>
      <c r="F98" s="22">
        <f>F97+D98-E98</f>
        <v>128031500</v>
      </c>
    </row>
    <row r="99" spans="1:10">
      <c r="A99" s="12"/>
      <c r="B99" s="16"/>
      <c r="C99" s="38" t="s">
        <v>95</v>
      </c>
      <c r="D99" s="19"/>
      <c r="E99" s="18">
        <f>10*50000</f>
        <v>500000</v>
      </c>
      <c r="F99" s="22">
        <f t="shared" ref="F99:F137" si="5">F98+D99-E99</f>
        <v>127531500</v>
      </c>
    </row>
    <row r="100" spans="1:10">
      <c r="A100" s="12"/>
      <c r="B100" s="16"/>
      <c r="C100" s="38" t="s">
        <v>96</v>
      </c>
      <c r="D100" s="19"/>
      <c r="E100" s="18">
        <f>100*23000</f>
        <v>2300000</v>
      </c>
      <c r="F100" s="22">
        <f t="shared" si="5"/>
        <v>125231500</v>
      </c>
    </row>
    <row r="101" spans="1:10">
      <c r="A101" s="12"/>
      <c r="B101" s="16">
        <v>24</v>
      </c>
      <c r="C101" s="40" t="s">
        <v>99</v>
      </c>
      <c r="D101" s="19"/>
      <c r="E101" s="18"/>
      <c r="F101" s="22">
        <f t="shared" si="5"/>
        <v>125231500</v>
      </c>
    </row>
    <row r="102" spans="1:10">
      <c r="A102" s="12"/>
      <c r="B102" s="16"/>
      <c r="C102" s="38" t="s">
        <v>98</v>
      </c>
      <c r="D102" s="37"/>
      <c r="E102" s="19">
        <f>100*15000</f>
        <v>1500000</v>
      </c>
      <c r="F102" s="22">
        <f t="shared" si="5"/>
        <v>123731500</v>
      </c>
    </row>
    <row r="103" spans="1:10">
      <c r="A103" s="12"/>
      <c r="B103" s="16">
        <v>25</v>
      </c>
      <c r="C103" s="29" t="s">
        <v>86</v>
      </c>
      <c r="D103" s="37"/>
      <c r="E103" s="19">
        <v>180000</v>
      </c>
      <c r="F103" s="22">
        <f t="shared" si="5"/>
        <v>123551500</v>
      </c>
    </row>
    <row r="104" spans="1:10">
      <c r="A104" s="12"/>
      <c r="B104" s="16">
        <v>26</v>
      </c>
      <c r="C104" s="37" t="s">
        <v>89</v>
      </c>
      <c r="D104" s="19"/>
      <c r="E104" s="18"/>
      <c r="F104" s="22">
        <f t="shared" si="5"/>
        <v>123551500</v>
      </c>
    </row>
    <row r="105" spans="1:10">
      <c r="A105" s="12"/>
      <c r="B105" s="16"/>
      <c r="C105" s="37" t="s">
        <v>94</v>
      </c>
      <c r="D105" s="19"/>
      <c r="E105" s="18">
        <v>3660000</v>
      </c>
      <c r="F105" s="22">
        <f t="shared" si="5"/>
        <v>119891500</v>
      </c>
    </row>
    <row r="106" spans="1:10">
      <c r="A106" s="12"/>
      <c r="B106" s="16"/>
      <c r="C106" s="37" t="s">
        <v>90</v>
      </c>
      <c r="D106" s="19"/>
      <c r="E106" s="18">
        <f>180*13000</f>
        <v>2340000</v>
      </c>
      <c r="F106" s="22">
        <f t="shared" si="5"/>
        <v>117551500</v>
      </c>
    </row>
    <row r="107" spans="1:10">
      <c r="A107" s="12"/>
      <c r="B107" s="16"/>
      <c r="C107" s="37" t="s">
        <v>91</v>
      </c>
      <c r="D107" s="19"/>
      <c r="E107" s="18">
        <f>150*28000</f>
        <v>4200000</v>
      </c>
      <c r="F107" s="22">
        <f t="shared" si="5"/>
        <v>113351500</v>
      </c>
    </row>
    <row r="108" spans="1:10">
      <c r="A108" s="12"/>
      <c r="B108" s="16"/>
      <c r="C108" s="37" t="s">
        <v>92</v>
      </c>
      <c r="D108" s="19"/>
      <c r="E108" s="18">
        <f>100*23000</f>
        <v>2300000</v>
      </c>
      <c r="F108" s="22">
        <f t="shared" si="5"/>
        <v>111051500</v>
      </c>
    </row>
    <row r="109" spans="1:10">
      <c r="A109" s="12"/>
      <c r="B109" s="16"/>
      <c r="C109" s="37" t="s">
        <v>93</v>
      </c>
      <c r="D109" s="19"/>
      <c r="E109" s="18">
        <v>400000</v>
      </c>
      <c r="F109" s="22">
        <f t="shared" si="5"/>
        <v>110651500</v>
      </c>
    </row>
    <row r="110" spans="1:10">
      <c r="A110" s="12"/>
      <c r="B110" s="16">
        <v>29</v>
      </c>
      <c r="C110" s="40" t="s">
        <v>101</v>
      </c>
      <c r="D110" s="19"/>
      <c r="E110" s="18"/>
      <c r="F110" s="22">
        <f t="shared" si="5"/>
        <v>110651500</v>
      </c>
      <c r="H110" s="25">
        <f>SUM(E105:E109)</f>
        <v>12900000</v>
      </c>
    </row>
    <row r="111" spans="1:10">
      <c r="A111" s="12"/>
      <c r="B111" s="16"/>
      <c r="C111" s="39" t="s">
        <v>57</v>
      </c>
      <c r="D111" s="19"/>
      <c r="E111" s="18">
        <f>2*350000</f>
        <v>700000</v>
      </c>
      <c r="F111" s="22">
        <f t="shared" si="5"/>
        <v>109951500</v>
      </c>
      <c r="H111" s="25">
        <f>SUM(E99:E137)</f>
        <v>40704000</v>
      </c>
    </row>
    <row r="112" spans="1:10">
      <c r="A112" s="12"/>
      <c r="B112" s="16"/>
      <c r="C112" s="39" t="s">
        <v>100</v>
      </c>
      <c r="D112" s="19"/>
      <c r="E112" s="18">
        <f>2*320000</f>
        <v>640000</v>
      </c>
      <c r="F112" s="22">
        <f t="shared" si="5"/>
        <v>109311500</v>
      </c>
      <c r="H112" s="25">
        <f>H111-H110</f>
        <v>27804000</v>
      </c>
    </row>
    <row r="113" spans="1:6">
      <c r="A113" s="12"/>
      <c r="B113" s="16">
        <v>29</v>
      </c>
      <c r="C113" s="40" t="s">
        <v>104</v>
      </c>
      <c r="D113" s="19"/>
      <c r="E113" s="18"/>
      <c r="F113" s="22">
        <f t="shared" si="5"/>
        <v>109311500</v>
      </c>
    </row>
    <row r="114" spans="1:6">
      <c r="A114" s="12"/>
      <c r="B114" s="16"/>
      <c r="C114" s="40" t="s">
        <v>96</v>
      </c>
      <c r="D114" s="19"/>
      <c r="E114" s="18">
        <f>100*23000</f>
        <v>2300000</v>
      </c>
      <c r="F114" s="22">
        <f t="shared" si="5"/>
        <v>107011500</v>
      </c>
    </row>
    <row r="115" spans="1:6">
      <c r="A115" s="12"/>
      <c r="B115" s="16"/>
      <c r="C115" s="40" t="s">
        <v>102</v>
      </c>
      <c r="D115" s="19"/>
      <c r="E115" s="18">
        <f>30*23000</f>
        <v>690000</v>
      </c>
      <c r="F115" s="22">
        <f t="shared" si="5"/>
        <v>106321500</v>
      </c>
    </row>
    <row r="116" spans="1:6">
      <c r="A116" s="12"/>
      <c r="B116" s="16"/>
      <c r="C116" s="39" t="s">
        <v>103</v>
      </c>
      <c r="D116" s="19"/>
      <c r="E116" s="18">
        <f>8*23000</f>
        <v>184000</v>
      </c>
      <c r="F116" s="22">
        <f t="shared" si="5"/>
        <v>106137500</v>
      </c>
    </row>
    <row r="117" spans="1:6">
      <c r="A117" s="12"/>
      <c r="B117" s="16">
        <v>30</v>
      </c>
      <c r="C117" s="40" t="s">
        <v>109</v>
      </c>
      <c r="D117" s="19"/>
      <c r="E117" s="18"/>
      <c r="F117" s="22">
        <f t="shared" si="5"/>
        <v>106137500</v>
      </c>
    </row>
    <row r="118" spans="1:6">
      <c r="A118" s="12"/>
      <c r="B118" s="16"/>
      <c r="C118" s="39" t="s">
        <v>105</v>
      </c>
      <c r="D118" s="19"/>
      <c r="E118" s="18">
        <f>36*23000</f>
        <v>828000</v>
      </c>
      <c r="F118" s="22">
        <f t="shared" si="5"/>
        <v>105309500</v>
      </c>
    </row>
    <row r="119" spans="1:6">
      <c r="A119" s="12"/>
      <c r="B119" s="16"/>
      <c r="C119" s="39" t="s">
        <v>106</v>
      </c>
      <c r="D119" s="19"/>
      <c r="E119" s="18">
        <f>25*23000</f>
        <v>575000</v>
      </c>
      <c r="F119" s="22">
        <f t="shared" si="5"/>
        <v>104734500</v>
      </c>
    </row>
    <row r="120" spans="1:6">
      <c r="A120" s="12"/>
      <c r="B120" s="16"/>
      <c r="C120" s="39" t="s">
        <v>107</v>
      </c>
      <c r="D120" s="19"/>
      <c r="E120" s="18">
        <f>29*23000</f>
        <v>667000</v>
      </c>
      <c r="F120" s="22">
        <f t="shared" si="5"/>
        <v>104067500</v>
      </c>
    </row>
    <row r="121" spans="1:6">
      <c r="A121" s="12"/>
      <c r="B121" s="16">
        <v>31</v>
      </c>
      <c r="C121" s="40" t="s">
        <v>124</v>
      </c>
      <c r="D121" s="19"/>
      <c r="E121" s="18"/>
      <c r="F121" s="22">
        <f t="shared" si="5"/>
        <v>104067500</v>
      </c>
    </row>
    <row r="122" spans="1:6">
      <c r="A122" s="12"/>
      <c r="B122" s="16"/>
      <c r="C122" s="39" t="s">
        <v>108</v>
      </c>
      <c r="D122" s="19"/>
      <c r="E122" s="18">
        <f>6*320000</f>
        <v>1920000</v>
      </c>
      <c r="F122" s="22">
        <f t="shared" si="5"/>
        <v>102147500</v>
      </c>
    </row>
    <row r="123" spans="1:6">
      <c r="A123" s="12"/>
      <c r="B123" s="16">
        <v>31</v>
      </c>
      <c r="C123" s="39" t="s">
        <v>86</v>
      </c>
      <c r="D123" s="19"/>
      <c r="E123" s="18">
        <v>120000</v>
      </c>
      <c r="F123" s="22">
        <f t="shared" si="5"/>
        <v>102027500</v>
      </c>
    </row>
    <row r="124" spans="1:6">
      <c r="A124" s="12"/>
      <c r="B124" s="16">
        <v>31</v>
      </c>
      <c r="C124" s="39" t="s">
        <v>110</v>
      </c>
      <c r="D124" s="19"/>
      <c r="E124" s="18"/>
      <c r="F124" s="22">
        <f t="shared" si="5"/>
        <v>102027500</v>
      </c>
    </row>
    <row r="125" spans="1:6">
      <c r="A125" s="12"/>
      <c r="B125" s="16"/>
      <c r="C125" s="39" t="s">
        <v>113</v>
      </c>
      <c r="D125" s="19"/>
      <c r="E125" s="18">
        <f>8*150000</f>
        <v>1200000</v>
      </c>
      <c r="F125" s="22">
        <f t="shared" si="5"/>
        <v>100827500</v>
      </c>
    </row>
    <row r="126" spans="1:6">
      <c r="A126" s="12"/>
      <c r="B126" s="16"/>
      <c r="C126" s="39" t="s">
        <v>114</v>
      </c>
      <c r="D126" s="19"/>
      <c r="E126" s="18">
        <f>9*150000</f>
        <v>1350000</v>
      </c>
      <c r="F126" s="22">
        <f t="shared" si="5"/>
        <v>99477500</v>
      </c>
    </row>
    <row r="127" spans="1:6">
      <c r="A127" s="12"/>
      <c r="B127" s="16"/>
      <c r="C127" s="39" t="s">
        <v>115</v>
      </c>
      <c r="D127" s="19"/>
      <c r="E127" s="18">
        <f>7*150000</f>
        <v>1050000</v>
      </c>
      <c r="F127" s="22">
        <f t="shared" si="5"/>
        <v>98427500</v>
      </c>
    </row>
    <row r="128" spans="1:6">
      <c r="A128" s="12"/>
      <c r="B128" s="16"/>
      <c r="C128" s="39" t="s">
        <v>116</v>
      </c>
      <c r="D128" s="19"/>
      <c r="E128" s="18">
        <f t="shared" ref="E128:E135" si="6">8*150000</f>
        <v>1200000</v>
      </c>
      <c r="F128" s="22">
        <f t="shared" si="5"/>
        <v>97227500</v>
      </c>
    </row>
    <row r="129" spans="1:6">
      <c r="A129" s="12"/>
      <c r="B129" s="16"/>
      <c r="C129" s="39" t="s">
        <v>117</v>
      </c>
      <c r="D129" s="19"/>
      <c r="E129" s="18">
        <f t="shared" si="6"/>
        <v>1200000</v>
      </c>
      <c r="F129" s="22">
        <f t="shared" si="5"/>
        <v>96027500</v>
      </c>
    </row>
    <row r="130" spans="1:6">
      <c r="A130" s="12"/>
      <c r="B130" s="16"/>
      <c r="C130" s="39" t="s">
        <v>118</v>
      </c>
      <c r="D130" s="19"/>
      <c r="E130" s="18">
        <f>7*150000</f>
        <v>1050000</v>
      </c>
      <c r="F130" s="22">
        <f t="shared" si="5"/>
        <v>94977500</v>
      </c>
    </row>
    <row r="131" spans="1:6">
      <c r="A131" s="12"/>
      <c r="B131" s="16"/>
      <c r="C131" s="39" t="s">
        <v>119</v>
      </c>
      <c r="D131" s="19"/>
      <c r="E131" s="18">
        <f t="shared" si="6"/>
        <v>1200000</v>
      </c>
      <c r="F131" s="22">
        <f t="shared" si="5"/>
        <v>93777500</v>
      </c>
    </row>
    <row r="132" spans="1:6">
      <c r="A132" s="12"/>
      <c r="B132" s="16"/>
      <c r="C132" s="39" t="s">
        <v>120</v>
      </c>
      <c r="D132" s="19"/>
      <c r="E132" s="18">
        <f t="shared" si="6"/>
        <v>1200000</v>
      </c>
      <c r="F132" s="22">
        <f t="shared" si="5"/>
        <v>92577500</v>
      </c>
    </row>
    <row r="133" spans="1:6">
      <c r="A133" s="12"/>
      <c r="B133" s="16"/>
      <c r="C133" s="39" t="s">
        <v>121</v>
      </c>
      <c r="D133" s="19"/>
      <c r="E133" s="18">
        <f t="shared" si="6"/>
        <v>1200000</v>
      </c>
      <c r="F133" s="22">
        <f t="shared" si="5"/>
        <v>91377500</v>
      </c>
    </row>
    <row r="134" spans="1:6">
      <c r="A134" s="12"/>
      <c r="B134" s="16"/>
      <c r="C134" s="39" t="s">
        <v>122</v>
      </c>
      <c r="D134" s="19"/>
      <c r="E134" s="18">
        <f>9*150000</f>
        <v>1350000</v>
      </c>
      <c r="F134" s="22">
        <f t="shared" si="5"/>
        <v>90027500</v>
      </c>
    </row>
    <row r="135" spans="1:6">
      <c r="A135" s="12"/>
      <c r="B135" s="16"/>
      <c r="C135" s="39" t="s">
        <v>123</v>
      </c>
      <c r="D135" s="19"/>
      <c r="E135" s="18">
        <f t="shared" si="6"/>
        <v>1200000</v>
      </c>
      <c r="F135" s="22">
        <f t="shared" si="5"/>
        <v>88827500</v>
      </c>
    </row>
    <row r="136" spans="1:6">
      <c r="A136" s="12"/>
      <c r="B136" s="16"/>
      <c r="C136" s="39" t="s">
        <v>111</v>
      </c>
      <c r="D136" s="19"/>
      <c r="E136" s="18">
        <f>7*150000</f>
        <v>1050000</v>
      </c>
      <c r="F136" s="22">
        <f t="shared" si="5"/>
        <v>87777500</v>
      </c>
    </row>
    <row r="137" spans="1:6">
      <c r="A137" s="12"/>
      <c r="B137" s="16"/>
      <c r="C137" s="39" t="s">
        <v>112</v>
      </c>
      <c r="D137" s="19"/>
      <c r="E137" s="18">
        <f>3*150000</f>
        <v>450000</v>
      </c>
      <c r="F137" s="22">
        <f t="shared" si="5"/>
        <v>87327500</v>
      </c>
    </row>
    <row r="138" spans="1:6">
      <c r="A138" s="20"/>
      <c r="B138" s="16"/>
      <c r="C138" s="21" t="s">
        <v>14</v>
      </c>
      <c r="D138" s="22">
        <f>SUM(D97:D137)</f>
        <v>240000000</v>
      </c>
      <c r="E138" s="22">
        <f>SUM(E97:E137)</f>
        <v>152672500</v>
      </c>
      <c r="F138" s="24">
        <f>D138-E138</f>
        <v>87327500</v>
      </c>
    </row>
  </sheetData>
  <mergeCells count="6">
    <mergeCell ref="A1:B1"/>
    <mergeCell ref="G95:J95"/>
    <mergeCell ref="G96:J96"/>
    <mergeCell ref="G97:J97"/>
    <mergeCell ref="A52:B52"/>
    <mergeCell ref="A96:B96"/>
  </mergeCells>
  <pageMargins left="0.75" right="0.75" top="1" bottom="1" header="0.5" footer="0.5"/>
  <ignoredErrors>
    <ignoredError sqref="E24:E26 E29 E81 E134 E13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71FAF-5C49-46CA-BAD4-F90EA5FC54F7}">
  <dimension ref="A1:J244"/>
  <sheetViews>
    <sheetView topLeftCell="A227" zoomScaleNormal="100" workbookViewId="0">
      <selection activeCell="C178" sqref="C178:E179"/>
    </sheetView>
  </sheetViews>
  <sheetFormatPr defaultColWidth="11.7109375" defaultRowHeight="15.75"/>
  <cols>
    <col min="1" max="1" width="13.28515625" style="3" customWidth="1"/>
    <col min="2" max="2" width="4" style="2" customWidth="1"/>
    <col min="3" max="3" width="75.28515625" style="4" customWidth="1"/>
    <col min="4" max="6" width="20" style="5" customWidth="1"/>
    <col min="7" max="7" width="17.140625" style="2" customWidth="1"/>
    <col min="8" max="8" width="17.42578125" style="2" customWidth="1"/>
    <col min="9" max="9" width="16.7109375" style="2" customWidth="1"/>
    <col min="10" max="10" width="15" style="2" customWidth="1"/>
    <col min="11" max="16384" width="11.7109375" style="2"/>
  </cols>
  <sheetData>
    <row r="1" spans="1:8" s="1" customFormat="1" ht="26.1" customHeight="1">
      <c r="A1" s="94" t="s">
        <v>0</v>
      </c>
      <c r="B1" s="94"/>
      <c r="C1" s="6" t="s">
        <v>1</v>
      </c>
      <c r="D1" s="7" t="s">
        <v>2</v>
      </c>
      <c r="E1" s="7" t="s">
        <v>3</v>
      </c>
      <c r="F1" s="7" t="s">
        <v>4</v>
      </c>
    </row>
    <row r="2" spans="1:8" s="1" customFormat="1">
      <c r="A2" s="8">
        <v>2025</v>
      </c>
      <c r="B2" s="9"/>
      <c r="C2" s="10" t="s">
        <v>5</v>
      </c>
      <c r="D2" s="11"/>
      <c r="E2" s="14"/>
      <c r="F2" s="11"/>
    </row>
    <row r="3" spans="1:8">
      <c r="A3" s="12" t="s">
        <v>125</v>
      </c>
      <c r="B3" s="9">
        <v>11</v>
      </c>
      <c r="C3" s="13" t="s">
        <v>189</v>
      </c>
      <c r="D3" s="14">
        <v>100000000</v>
      </c>
      <c r="E3" s="14"/>
      <c r="F3" s="11"/>
    </row>
    <row r="4" spans="1:8">
      <c r="A4" s="12"/>
      <c r="B4" s="9"/>
      <c r="C4" s="10" t="s">
        <v>9</v>
      </c>
      <c r="D4" s="14"/>
      <c r="E4" s="14"/>
      <c r="F4" s="22">
        <f>SUM(D3:D3)</f>
        <v>100000000</v>
      </c>
    </row>
    <row r="5" spans="1:8">
      <c r="A5" s="12"/>
      <c r="B5" s="9"/>
      <c r="C5" s="15"/>
      <c r="D5" s="14"/>
      <c r="E5" s="14"/>
      <c r="F5" s="22"/>
    </row>
    <row r="6" spans="1:8">
      <c r="A6" s="12"/>
      <c r="B6" s="9"/>
      <c r="C6" s="10" t="s">
        <v>10</v>
      </c>
      <c r="D6" s="14"/>
      <c r="E6" s="14"/>
      <c r="F6" s="22"/>
    </row>
    <row r="7" spans="1:8">
      <c r="A7" s="12" t="s">
        <v>125</v>
      </c>
      <c r="B7" s="16"/>
      <c r="C7" s="41" t="s">
        <v>87</v>
      </c>
      <c r="D7" s="22">
        <f>'AGT-1'!D138</f>
        <v>240000000</v>
      </c>
      <c r="E7" s="22">
        <f>'AGT-1'!E138</f>
        <v>152672500</v>
      </c>
      <c r="F7" s="22">
        <f>'AGT-1'!F138</f>
        <v>87327500</v>
      </c>
    </row>
    <row r="8" spans="1:8">
      <c r="A8" s="12"/>
      <c r="B8" s="16">
        <v>3</v>
      </c>
      <c r="C8" s="48" t="s">
        <v>126</v>
      </c>
      <c r="D8" s="19"/>
      <c r="E8" s="18"/>
      <c r="F8" s="22">
        <f>F4+F7+D8-E8</f>
        <v>187327500</v>
      </c>
    </row>
    <row r="9" spans="1:8">
      <c r="A9" s="12"/>
      <c r="B9" s="16"/>
      <c r="C9" s="49" t="s">
        <v>127</v>
      </c>
      <c r="D9" s="19"/>
      <c r="E9" s="18">
        <f>131*23000</f>
        <v>3013000</v>
      </c>
      <c r="F9" s="22">
        <f t="shared" ref="F9:F46" si="0">F8+D9-E9</f>
        <v>184314500</v>
      </c>
    </row>
    <row r="10" spans="1:8">
      <c r="A10" s="12"/>
      <c r="B10" s="16"/>
      <c r="C10" s="19" t="s">
        <v>128</v>
      </c>
      <c r="D10" s="19"/>
      <c r="E10" s="18">
        <f>54*23000</f>
        <v>1242000</v>
      </c>
      <c r="F10" s="22">
        <f t="shared" si="0"/>
        <v>183072500</v>
      </c>
    </row>
    <row r="11" spans="1:8">
      <c r="A11" s="12"/>
      <c r="B11" s="16">
        <v>5</v>
      </c>
      <c r="C11" s="50" t="s">
        <v>129</v>
      </c>
      <c r="D11" s="19"/>
      <c r="E11" s="18"/>
      <c r="F11" s="22">
        <f t="shared" si="0"/>
        <v>183072500</v>
      </c>
    </row>
    <row r="12" spans="1:8">
      <c r="A12" s="12"/>
      <c r="B12" s="16"/>
      <c r="C12" s="51" t="s">
        <v>44</v>
      </c>
      <c r="D12" s="19"/>
      <c r="E12" s="18">
        <f>3*350000</f>
        <v>1050000</v>
      </c>
      <c r="F12" s="22">
        <f t="shared" si="0"/>
        <v>182022500</v>
      </c>
      <c r="H12" s="25">
        <f>SUM(E12:E45)</f>
        <v>34695000</v>
      </c>
    </row>
    <row r="13" spans="1:8">
      <c r="A13" s="12"/>
      <c r="B13" s="16"/>
      <c r="C13" s="19" t="s">
        <v>130</v>
      </c>
      <c r="D13" s="19"/>
      <c r="E13" s="18">
        <f>2*30000</f>
        <v>60000</v>
      </c>
      <c r="F13" s="22">
        <f t="shared" si="0"/>
        <v>181962500</v>
      </c>
    </row>
    <row r="14" spans="1:8">
      <c r="A14" s="12"/>
      <c r="B14" s="16"/>
      <c r="C14" s="19" t="s">
        <v>131</v>
      </c>
      <c r="D14" s="19"/>
      <c r="E14" s="18">
        <f>150*80000</f>
        <v>12000000</v>
      </c>
      <c r="F14" s="22">
        <f t="shared" si="0"/>
        <v>169962500</v>
      </c>
      <c r="H14" s="25">
        <f>SUM(E12:E20)</f>
        <v>21070000</v>
      </c>
    </row>
    <row r="15" spans="1:8">
      <c r="A15" s="12"/>
      <c r="B15" s="16"/>
      <c r="C15" s="19" t="s">
        <v>132</v>
      </c>
      <c r="D15" s="19"/>
      <c r="E15" s="18">
        <f>65*68000</f>
        <v>4420000</v>
      </c>
      <c r="F15" s="22">
        <f t="shared" si="0"/>
        <v>165542500</v>
      </c>
      <c r="H15" s="25">
        <f>SUM(E22:E33)</f>
        <v>5575000</v>
      </c>
    </row>
    <row r="16" spans="1:8">
      <c r="A16" s="12"/>
      <c r="B16" s="16"/>
      <c r="C16" s="19" t="s">
        <v>133</v>
      </c>
      <c r="D16" s="19"/>
      <c r="E16" s="18">
        <f>27*40000</f>
        <v>1080000</v>
      </c>
      <c r="F16" s="22">
        <f t="shared" si="0"/>
        <v>164462500</v>
      </c>
      <c r="H16" s="25">
        <f>SUM(E35:E45)</f>
        <v>8050000</v>
      </c>
    </row>
    <row r="17" spans="1:8">
      <c r="A17" s="12"/>
      <c r="B17" s="16"/>
      <c r="C17" s="19" t="s">
        <v>134</v>
      </c>
      <c r="D17" s="19"/>
      <c r="E17" s="18">
        <f>3*30000</f>
        <v>90000</v>
      </c>
      <c r="F17" s="22">
        <f t="shared" si="0"/>
        <v>164372500</v>
      </c>
    </row>
    <row r="18" spans="1:8">
      <c r="A18" s="12"/>
      <c r="B18" s="16"/>
      <c r="C18" s="19" t="s">
        <v>141</v>
      </c>
      <c r="D18" s="19"/>
      <c r="E18" s="18">
        <f>30000</f>
        <v>30000</v>
      </c>
      <c r="F18" s="22">
        <f t="shared" si="0"/>
        <v>164342500</v>
      </c>
      <c r="H18" s="25">
        <f>SUM(H14:H16)</f>
        <v>34695000</v>
      </c>
    </row>
    <row r="19" spans="1:8">
      <c r="A19" s="12"/>
      <c r="B19" s="16"/>
      <c r="C19" s="19" t="s">
        <v>136</v>
      </c>
      <c r="D19" s="19"/>
      <c r="E19" s="18">
        <f>15*56000</f>
        <v>840000</v>
      </c>
      <c r="F19" s="22">
        <f t="shared" si="0"/>
        <v>163502500</v>
      </c>
    </row>
    <row r="20" spans="1:8">
      <c r="A20" s="12"/>
      <c r="B20" s="16"/>
      <c r="C20" s="19" t="s">
        <v>137</v>
      </c>
      <c r="D20" s="19"/>
      <c r="E20" s="18">
        <f>20*75000</f>
        <v>1500000</v>
      </c>
      <c r="F20" s="22">
        <f t="shared" si="0"/>
        <v>162002500</v>
      </c>
    </row>
    <row r="21" spans="1:8">
      <c r="A21" s="12"/>
      <c r="B21" s="16">
        <v>5</v>
      </c>
      <c r="C21" s="50" t="s">
        <v>135</v>
      </c>
      <c r="D21" s="19"/>
      <c r="E21" s="18"/>
      <c r="F21" s="22">
        <f t="shared" si="0"/>
        <v>162002500</v>
      </c>
    </row>
    <row r="22" spans="1:8">
      <c r="A22" s="12"/>
      <c r="B22" s="16"/>
      <c r="C22" s="19" t="s">
        <v>138</v>
      </c>
      <c r="D22" s="19"/>
      <c r="E22" s="18">
        <f>20*56000</f>
        <v>1120000</v>
      </c>
      <c r="F22" s="22">
        <f t="shared" si="0"/>
        <v>160882500</v>
      </c>
    </row>
    <row r="23" spans="1:8">
      <c r="A23" s="12"/>
      <c r="B23" s="16"/>
      <c r="C23" s="19" t="s">
        <v>139</v>
      </c>
      <c r="D23" s="19"/>
      <c r="E23" s="18">
        <f>25*20000</f>
        <v>500000</v>
      </c>
      <c r="F23" s="22">
        <f t="shared" si="0"/>
        <v>160382500</v>
      </c>
      <c r="H23" s="25">
        <f>SUM(E8:E45)</f>
        <v>38950000</v>
      </c>
    </row>
    <row r="24" spans="1:8">
      <c r="A24" s="12"/>
      <c r="B24" s="16"/>
      <c r="C24" s="19" t="s">
        <v>140</v>
      </c>
      <c r="D24" s="19"/>
      <c r="E24" s="18">
        <f>6*4000</f>
        <v>24000</v>
      </c>
      <c r="F24" s="22">
        <f t="shared" si="0"/>
        <v>160358500</v>
      </c>
    </row>
    <row r="25" spans="1:8">
      <c r="A25" s="12"/>
      <c r="B25" s="16"/>
      <c r="C25" s="19" t="s">
        <v>142</v>
      </c>
      <c r="D25" s="19"/>
      <c r="E25" s="18">
        <f>5000</f>
        <v>5000</v>
      </c>
      <c r="F25" s="22">
        <f t="shared" si="0"/>
        <v>160353500</v>
      </c>
      <c r="H25" s="60">
        <v>23324000</v>
      </c>
    </row>
    <row r="26" spans="1:8">
      <c r="A26" s="12"/>
      <c r="B26" s="16"/>
      <c r="C26" s="19" t="s">
        <v>143</v>
      </c>
      <c r="D26" s="19"/>
      <c r="E26" s="18">
        <f>95000</f>
        <v>95000</v>
      </c>
      <c r="F26" s="22">
        <f t="shared" si="0"/>
        <v>160258500</v>
      </c>
    </row>
    <row r="27" spans="1:8">
      <c r="A27" s="12"/>
      <c r="B27" s="16"/>
      <c r="C27" s="19" t="s">
        <v>144</v>
      </c>
      <c r="D27" s="19"/>
      <c r="E27" s="18">
        <f>2*5000</f>
        <v>10000</v>
      </c>
      <c r="F27" s="22">
        <f t="shared" si="0"/>
        <v>160248500</v>
      </c>
    </row>
    <row r="28" spans="1:8">
      <c r="A28" s="12"/>
      <c r="B28" s="16"/>
      <c r="C28" s="19" t="s">
        <v>145</v>
      </c>
      <c r="D28" s="19"/>
      <c r="E28" s="18">
        <f>2*3000</f>
        <v>6000</v>
      </c>
      <c r="F28" s="22">
        <f t="shared" si="0"/>
        <v>160242500</v>
      </c>
    </row>
    <row r="29" spans="1:8">
      <c r="A29" s="12"/>
      <c r="B29" s="16"/>
      <c r="C29" s="51" t="s">
        <v>58</v>
      </c>
      <c r="D29" s="19"/>
      <c r="E29" s="18">
        <f>5*350000</f>
        <v>1750000</v>
      </c>
      <c r="F29" s="22">
        <f t="shared" si="0"/>
        <v>158492500</v>
      </c>
    </row>
    <row r="30" spans="1:8">
      <c r="A30" s="12"/>
      <c r="B30" s="16"/>
      <c r="C30" s="19" t="s">
        <v>146</v>
      </c>
      <c r="D30" s="19"/>
      <c r="E30" s="18">
        <f>3*5000</f>
        <v>15000</v>
      </c>
      <c r="F30" s="22">
        <f t="shared" si="0"/>
        <v>158477500</v>
      </c>
    </row>
    <row r="31" spans="1:8">
      <c r="A31" s="12"/>
      <c r="B31" s="16"/>
      <c r="C31" s="19" t="s">
        <v>147</v>
      </c>
      <c r="D31" s="19"/>
      <c r="E31" s="18">
        <f>50000</f>
        <v>50000</v>
      </c>
      <c r="F31" s="22">
        <f t="shared" si="0"/>
        <v>158427500</v>
      </c>
    </row>
    <row r="32" spans="1:8">
      <c r="A32" s="12"/>
      <c r="B32" s="16"/>
      <c r="C32" s="19" t="s">
        <v>148</v>
      </c>
      <c r="D32" s="19"/>
      <c r="E32" s="18">
        <f>500000</f>
        <v>500000</v>
      </c>
      <c r="F32" s="22">
        <f t="shared" si="0"/>
        <v>157927500</v>
      </c>
    </row>
    <row r="33" spans="1:6">
      <c r="A33" s="12"/>
      <c r="B33" s="16"/>
      <c r="C33" s="19" t="s">
        <v>149</v>
      </c>
      <c r="D33" s="19"/>
      <c r="E33" s="18">
        <f>20*75000</f>
        <v>1500000</v>
      </c>
      <c r="F33" s="22">
        <f t="shared" si="0"/>
        <v>156427500</v>
      </c>
    </row>
    <row r="34" spans="1:6">
      <c r="A34" s="12"/>
      <c r="B34" s="16">
        <v>5</v>
      </c>
      <c r="C34" s="50" t="s">
        <v>150</v>
      </c>
      <c r="D34" s="19"/>
      <c r="E34" s="18"/>
      <c r="F34" s="22">
        <f t="shared" si="0"/>
        <v>156427500</v>
      </c>
    </row>
    <row r="35" spans="1:6">
      <c r="A35" s="12"/>
      <c r="B35" s="16"/>
      <c r="C35" s="19" t="s">
        <v>151</v>
      </c>
      <c r="D35" s="19"/>
      <c r="E35" s="18">
        <f>10*75000</f>
        <v>750000</v>
      </c>
      <c r="F35" s="22">
        <f t="shared" si="0"/>
        <v>155677500</v>
      </c>
    </row>
    <row r="36" spans="1:6">
      <c r="A36" s="12"/>
      <c r="B36" s="16"/>
      <c r="C36" s="50" t="s">
        <v>152</v>
      </c>
      <c r="D36" s="19"/>
      <c r="E36" s="18">
        <f>10*20000</f>
        <v>200000</v>
      </c>
      <c r="F36" s="22">
        <f t="shared" si="0"/>
        <v>155477500</v>
      </c>
    </row>
    <row r="37" spans="1:6">
      <c r="A37" s="12"/>
      <c r="B37" s="16"/>
      <c r="C37" s="50" t="s">
        <v>153</v>
      </c>
      <c r="D37" s="19"/>
      <c r="E37" s="18">
        <f>10*20000</f>
        <v>200000</v>
      </c>
      <c r="F37" s="22">
        <f t="shared" si="0"/>
        <v>155277500</v>
      </c>
    </row>
    <row r="38" spans="1:6">
      <c r="A38" s="12"/>
      <c r="B38" s="16"/>
      <c r="C38" s="50" t="s">
        <v>154</v>
      </c>
      <c r="D38" s="19"/>
      <c r="E38" s="18">
        <f>45000</f>
        <v>45000</v>
      </c>
      <c r="F38" s="22">
        <f t="shared" si="0"/>
        <v>155232500</v>
      </c>
    </row>
    <row r="39" spans="1:6">
      <c r="A39" s="12"/>
      <c r="B39" s="16"/>
      <c r="C39" s="50" t="s">
        <v>155</v>
      </c>
      <c r="D39" s="19"/>
      <c r="E39" s="18">
        <f>35000</f>
        <v>35000</v>
      </c>
      <c r="F39" s="22">
        <f t="shared" si="0"/>
        <v>155197500</v>
      </c>
    </row>
    <row r="40" spans="1:6">
      <c r="A40" s="12"/>
      <c r="B40" s="16"/>
      <c r="C40" s="50" t="s">
        <v>156</v>
      </c>
      <c r="D40" s="19"/>
      <c r="E40" s="18">
        <f>45*55000</f>
        <v>2475000</v>
      </c>
      <c r="F40" s="22">
        <f t="shared" si="0"/>
        <v>152722500</v>
      </c>
    </row>
    <row r="41" spans="1:6">
      <c r="A41" s="12"/>
      <c r="B41" s="16"/>
      <c r="C41" s="50" t="s">
        <v>157</v>
      </c>
      <c r="D41" s="19"/>
      <c r="E41" s="18">
        <f>10*56000</f>
        <v>560000</v>
      </c>
      <c r="F41" s="22">
        <f t="shared" si="0"/>
        <v>152162500</v>
      </c>
    </row>
    <row r="42" spans="1:6">
      <c r="A42" s="12"/>
      <c r="B42" s="16"/>
      <c r="C42" s="50" t="s">
        <v>158</v>
      </c>
      <c r="D42" s="19"/>
      <c r="E42" s="18">
        <f>10000</f>
        <v>10000</v>
      </c>
      <c r="F42" s="22">
        <f t="shared" si="0"/>
        <v>152152500</v>
      </c>
    </row>
    <row r="43" spans="1:6">
      <c r="A43" s="12"/>
      <c r="B43" s="16"/>
      <c r="C43" s="50" t="s">
        <v>159</v>
      </c>
      <c r="D43" s="19"/>
      <c r="E43" s="18">
        <f>37*75000</f>
        <v>2775000</v>
      </c>
      <c r="F43" s="22">
        <f t="shared" si="0"/>
        <v>149377500</v>
      </c>
    </row>
    <row r="44" spans="1:6">
      <c r="A44" s="12"/>
      <c r="B44" s="16"/>
      <c r="C44" s="50" t="s">
        <v>160</v>
      </c>
      <c r="D44" s="19"/>
      <c r="E44" s="18">
        <f>500000</f>
        <v>500000</v>
      </c>
      <c r="F44" s="22">
        <f t="shared" si="0"/>
        <v>148877500</v>
      </c>
    </row>
    <row r="45" spans="1:6">
      <c r="A45" s="12"/>
      <c r="B45" s="16"/>
      <c r="C45" s="19" t="s">
        <v>148</v>
      </c>
      <c r="D45" s="19"/>
      <c r="E45" s="18">
        <f>500000</f>
        <v>500000</v>
      </c>
      <c r="F45" s="22">
        <f t="shared" si="0"/>
        <v>148377500</v>
      </c>
    </row>
    <row r="46" spans="1:6">
      <c r="A46" s="12"/>
      <c r="B46" s="16">
        <v>25</v>
      </c>
      <c r="C46" s="59" t="s">
        <v>275</v>
      </c>
      <c r="D46" s="19"/>
      <c r="E46" s="18">
        <v>130000</v>
      </c>
      <c r="F46" s="22">
        <f t="shared" si="0"/>
        <v>148247500</v>
      </c>
    </row>
    <row r="47" spans="1:6" s="46" customFormat="1" ht="18.75">
      <c r="A47" s="43"/>
      <c r="B47" s="44"/>
      <c r="C47" s="42" t="s">
        <v>88</v>
      </c>
      <c r="D47" s="45">
        <f>SUM(D2:D45)</f>
        <v>340000000</v>
      </c>
      <c r="E47" s="45">
        <f>SUM(E2:E46)</f>
        <v>191752500</v>
      </c>
      <c r="F47" s="47">
        <f>D47-E47</f>
        <v>148247500</v>
      </c>
    </row>
    <row r="48" spans="1:6">
      <c r="A48" s="5"/>
      <c r="B48" s="5"/>
      <c r="C48" s="5"/>
    </row>
    <row r="49" spans="1:9">
      <c r="A49" s="94" t="s">
        <v>0</v>
      </c>
      <c r="B49" s="94"/>
      <c r="C49" s="6" t="s">
        <v>1</v>
      </c>
      <c r="D49" s="7" t="s">
        <v>2</v>
      </c>
      <c r="E49" s="7" t="s">
        <v>3</v>
      </c>
      <c r="F49" s="7" t="s">
        <v>4</v>
      </c>
    </row>
    <row r="50" spans="1:9">
      <c r="A50" s="8">
        <v>2025</v>
      </c>
      <c r="B50" s="9"/>
      <c r="C50" s="10" t="s">
        <v>87</v>
      </c>
      <c r="D50" s="11">
        <f>D47</f>
        <v>340000000</v>
      </c>
      <c r="E50" s="11">
        <f>E47</f>
        <v>191752500</v>
      </c>
      <c r="F50" s="11">
        <f>F47</f>
        <v>148247500</v>
      </c>
    </row>
    <row r="51" spans="1:9">
      <c r="A51" s="12"/>
      <c r="B51" s="16">
        <v>7</v>
      </c>
      <c r="C51" s="52" t="s">
        <v>161</v>
      </c>
      <c r="D51" s="19"/>
      <c r="E51" s="18"/>
      <c r="F51" s="22">
        <f>F50+D51-E51</f>
        <v>148247500</v>
      </c>
    </row>
    <row r="52" spans="1:9">
      <c r="A52" s="12"/>
      <c r="B52" s="16"/>
      <c r="C52" s="53" t="s">
        <v>162</v>
      </c>
      <c r="D52" s="19"/>
      <c r="E52" s="18">
        <f>140*23000</f>
        <v>3220000</v>
      </c>
      <c r="F52" s="22">
        <f t="shared" ref="F52:F79" si="1">F51+D52-E52</f>
        <v>145027500</v>
      </c>
      <c r="H52" s="25">
        <f>SUM(E52:E54)</f>
        <v>7314000</v>
      </c>
      <c r="I52" s="25">
        <f>SUM(H52,H56,H60)</f>
        <v>12734000</v>
      </c>
    </row>
    <row r="53" spans="1:9">
      <c r="A53" s="12"/>
      <c r="B53" s="16"/>
      <c r="C53" s="19" t="s">
        <v>163</v>
      </c>
      <c r="D53" s="19"/>
      <c r="E53" s="18">
        <f>65*23000</f>
        <v>1495000</v>
      </c>
      <c r="F53" s="22">
        <f t="shared" si="1"/>
        <v>143532500</v>
      </c>
    </row>
    <row r="54" spans="1:9">
      <c r="A54" s="12"/>
      <c r="B54" s="16"/>
      <c r="C54" s="52" t="s">
        <v>164</v>
      </c>
      <c r="D54" s="19"/>
      <c r="E54" s="18">
        <f>113*23000</f>
        <v>2599000</v>
      </c>
      <c r="F54" s="22">
        <f t="shared" si="1"/>
        <v>140933500</v>
      </c>
      <c r="I54" s="25">
        <f>SUM(I52,H62,H64)</f>
        <v>27534000</v>
      </c>
    </row>
    <row r="55" spans="1:9">
      <c r="A55" s="12"/>
      <c r="B55" s="16">
        <v>7</v>
      </c>
      <c r="C55" s="52" t="s">
        <v>167</v>
      </c>
      <c r="D55" s="37"/>
      <c r="E55" s="19"/>
      <c r="F55" s="22">
        <f t="shared" si="1"/>
        <v>140933500</v>
      </c>
    </row>
    <row r="56" spans="1:9">
      <c r="A56" s="12"/>
      <c r="B56" s="16"/>
      <c r="C56" s="53" t="s">
        <v>96</v>
      </c>
      <c r="D56" s="37"/>
      <c r="E56" s="19">
        <f>100*23000</f>
        <v>2300000</v>
      </c>
      <c r="F56" s="22">
        <f t="shared" si="1"/>
        <v>138633500</v>
      </c>
      <c r="H56" s="23">
        <f>SUM(E56:E58)</f>
        <v>4780000</v>
      </c>
    </row>
    <row r="57" spans="1:9">
      <c r="A57" s="12"/>
      <c r="B57" s="16"/>
      <c r="C57" s="19" t="s">
        <v>165</v>
      </c>
      <c r="D57" s="19"/>
      <c r="E57" s="18">
        <f>3*60000</f>
        <v>180000</v>
      </c>
      <c r="F57" s="22">
        <f t="shared" si="1"/>
        <v>138453500</v>
      </c>
    </row>
    <row r="58" spans="1:9">
      <c r="A58" s="12"/>
      <c r="B58" s="16"/>
      <c r="C58" s="19" t="s">
        <v>166</v>
      </c>
      <c r="D58" s="19"/>
      <c r="E58" s="18">
        <f>100*23000</f>
        <v>2300000</v>
      </c>
      <c r="F58" s="22">
        <f t="shared" si="1"/>
        <v>136153500</v>
      </c>
    </row>
    <row r="59" spans="1:9">
      <c r="A59" s="12"/>
      <c r="B59" s="16">
        <v>7</v>
      </c>
      <c r="C59" s="52" t="s">
        <v>188</v>
      </c>
      <c r="D59" s="19"/>
      <c r="E59" s="18"/>
      <c r="F59" s="22">
        <f t="shared" si="1"/>
        <v>136153500</v>
      </c>
    </row>
    <row r="60" spans="1:9">
      <c r="A60" s="12"/>
      <c r="B60" s="16"/>
      <c r="C60" s="53" t="s">
        <v>168</v>
      </c>
      <c r="D60" s="19"/>
      <c r="E60" s="18">
        <f>2*320000</f>
        <v>640000</v>
      </c>
      <c r="F60" s="22">
        <f t="shared" si="1"/>
        <v>135513500</v>
      </c>
      <c r="H60" s="25">
        <f>SUM(E60)</f>
        <v>640000</v>
      </c>
    </row>
    <row r="61" spans="1:9">
      <c r="A61" s="12"/>
      <c r="B61" s="16">
        <v>7</v>
      </c>
      <c r="C61" s="53" t="s">
        <v>187</v>
      </c>
      <c r="D61" s="19"/>
      <c r="E61" s="18"/>
      <c r="F61" s="22">
        <f t="shared" si="1"/>
        <v>135513500</v>
      </c>
    </row>
    <row r="62" spans="1:9">
      <c r="A62" s="12"/>
      <c r="B62" s="16"/>
      <c r="C62" s="53" t="s">
        <v>169</v>
      </c>
      <c r="D62" s="19"/>
      <c r="E62" s="18">
        <f>6*150000</f>
        <v>900000</v>
      </c>
      <c r="F62" s="22">
        <f t="shared" si="1"/>
        <v>134613500</v>
      </c>
      <c r="H62" s="25">
        <f>SUM(E62:E77)</f>
        <v>14250000</v>
      </c>
    </row>
    <row r="63" spans="1:9">
      <c r="A63" s="12"/>
      <c r="B63" s="16"/>
      <c r="C63" s="53" t="s">
        <v>181</v>
      </c>
      <c r="D63" s="19"/>
      <c r="E63" s="18">
        <f t="shared" ref="E63:E77" si="2">6*150000</f>
        <v>900000</v>
      </c>
      <c r="F63" s="22">
        <f t="shared" si="1"/>
        <v>133713500</v>
      </c>
    </row>
    <row r="64" spans="1:9">
      <c r="A64" s="12"/>
      <c r="B64" s="16"/>
      <c r="C64" s="53" t="s">
        <v>170</v>
      </c>
      <c r="D64" s="19"/>
      <c r="E64" s="18">
        <f t="shared" si="2"/>
        <v>900000</v>
      </c>
      <c r="F64" s="22">
        <f t="shared" si="1"/>
        <v>132813500</v>
      </c>
      <c r="H64" s="25">
        <f>SUM(E78:E79)</f>
        <v>550000</v>
      </c>
    </row>
    <row r="65" spans="1:6">
      <c r="A65" s="12"/>
      <c r="B65" s="16"/>
      <c r="C65" s="53" t="s">
        <v>171</v>
      </c>
      <c r="D65" s="19"/>
      <c r="E65" s="18">
        <f t="shared" si="2"/>
        <v>900000</v>
      </c>
      <c r="F65" s="22">
        <f t="shared" si="1"/>
        <v>131913500</v>
      </c>
    </row>
    <row r="66" spans="1:6">
      <c r="A66" s="12"/>
      <c r="B66" s="16"/>
      <c r="C66" s="53" t="s">
        <v>172</v>
      </c>
      <c r="D66" s="19"/>
      <c r="E66" s="18">
        <f t="shared" si="2"/>
        <v>900000</v>
      </c>
      <c r="F66" s="22">
        <f t="shared" si="1"/>
        <v>131013500</v>
      </c>
    </row>
    <row r="67" spans="1:6">
      <c r="A67" s="12"/>
      <c r="B67" s="16"/>
      <c r="C67" s="53" t="s">
        <v>173</v>
      </c>
      <c r="D67" s="19"/>
      <c r="E67" s="18">
        <f t="shared" si="2"/>
        <v>900000</v>
      </c>
      <c r="F67" s="22">
        <f t="shared" si="1"/>
        <v>130113500</v>
      </c>
    </row>
    <row r="68" spans="1:6">
      <c r="A68" s="12"/>
      <c r="B68" s="16"/>
      <c r="C68" s="53" t="s">
        <v>174</v>
      </c>
      <c r="D68" s="19"/>
      <c r="E68" s="18">
        <f t="shared" si="2"/>
        <v>900000</v>
      </c>
      <c r="F68" s="22">
        <f t="shared" si="1"/>
        <v>129213500</v>
      </c>
    </row>
    <row r="69" spans="1:6">
      <c r="A69" s="12"/>
      <c r="B69" s="16"/>
      <c r="C69" s="53" t="s">
        <v>175</v>
      </c>
      <c r="D69" s="19"/>
      <c r="E69" s="18">
        <f t="shared" si="2"/>
        <v>900000</v>
      </c>
      <c r="F69" s="22">
        <f t="shared" si="1"/>
        <v>128313500</v>
      </c>
    </row>
    <row r="70" spans="1:6">
      <c r="A70" s="12"/>
      <c r="B70" s="16"/>
      <c r="C70" s="53" t="s">
        <v>176</v>
      </c>
      <c r="D70" s="19"/>
      <c r="E70" s="18">
        <f t="shared" si="2"/>
        <v>900000</v>
      </c>
      <c r="F70" s="22">
        <f t="shared" si="1"/>
        <v>127413500</v>
      </c>
    </row>
    <row r="71" spans="1:6">
      <c r="A71" s="12"/>
      <c r="B71" s="16"/>
      <c r="C71" s="53" t="s">
        <v>177</v>
      </c>
      <c r="D71" s="19"/>
      <c r="E71" s="18">
        <f t="shared" si="2"/>
        <v>900000</v>
      </c>
      <c r="F71" s="22">
        <f t="shared" si="1"/>
        <v>126513500</v>
      </c>
    </row>
    <row r="72" spans="1:6">
      <c r="A72" s="12"/>
      <c r="B72" s="16"/>
      <c r="C72" s="53" t="s">
        <v>178</v>
      </c>
      <c r="D72" s="19"/>
      <c r="E72" s="18">
        <f t="shared" si="2"/>
        <v>900000</v>
      </c>
      <c r="F72" s="22">
        <f t="shared" si="1"/>
        <v>125613500</v>
      </c>
    </row>
    <row r="73" spans="1:6">
      <c r="A73" s="12"/>
      <c r="B73" s="16"/>
      <c r="C73" s="53" t="s">
        <v>179</v>
      </c>
      <c r="D73" s="19"/>
      <c r="E73" s="18">
        <f t="shared" si="2"/>
        <v>900000</v>
      </c>
      <c r="F73" s="22">
        <f t="shared" si="1"/>
        <v>124713500</v>
      </c>
    </row>
    <row r="74" spans="1:6">
      <c r="A74" s="12"/>
      <c r="B74" s="16"/>
      <c r="C74" s="53" t="s">
        <v>180</v>
      </c>
      <c r="D74" s="19"/>
      <c r="E74" s="18">
        <f t="shared" si="2"/>
        <v>900000</v>
      </c>
      <c r="F74" s="22">
        <f t="shared" si="1"/>
        <v>123813500</v>
      </c>
    </row>
    <row r="75" spans="1:6">
      <c r="A75" s="12"/>
      <c r="B75" s="16"/>
      <c r="C75" s="53" t="s">
        <v>182</v>
      </c>
      <c r="D75" s="19"/>
      <c r="E75" s="18">
        <f t="shared" si="2"/>
        <v>900000</v>
      </c>
      <c r="F75" s="22">
        <f t="shared" si="1"/>
        <v>122913500</v>
      </c>
    </row>
    <row r="76" spans="1:6">
      <c r="A76" s="12"/>
      <c r="B76" s="16"/>
      <c r="C76" s="53" t="s">
        <v>183</v>
      </c>
      <c r="D76" s="19"/>
      <c r="E76" s="18">
        <f>5*150000</f>
        <v>750000</v>
      </c>
      <c r="F76" s="22">
        <f t="shared" si="1"/>
        <v>122163500</v>
      </c>
    </row>
    <row r="77" spans="1:6">
      <c r="A77" s="12"/>
      <c r="B77" s="16"/>
      <c r="C77" s="53" t="s">
        <v>184</v>
      </c>
      <c r="D77" s="19"/>
      <c r="E77" s="18">
        <f t="shared" si="2"/>
        <v>900000</v>
      </c>
      <c r="F77" s="22">
        <f t="shared" si="1"/>
        <v>121263500</v>
      </c>
    </row>
    <row r="78" spans="1:6">
      <c r="A78" s="12"/>
      <c r="B78" s="16">
        <v>7</v>
      </c>
      <c r="C78" s="53" t="s">
        <v>185</v>
      </c>
      <c r="D78" s="19"/>
      <c r="E78" s="18">
        <v>300000</v>
      </c>
      <c r="F78" s="22">
        <f t="shared" si="1"/>
        <v>120963500</v>
      </c>
    </row>
    <row r="79" spans="1:6">
      <c r="A79" s="12"/>
      <c r="B79" s="16">
        <v>7</v>
      </c>
      <c r="C79" s="53" t="s">
        <v>186</v>
      </c>
      <c r="D79" s="19"/>
      <c r="E79" s="18">
        <f>80000+70000+100000</f>
        <v>250000</v>
      </c>
      <c r="F79" s="22">
        <f t="shared" si="1"/>
        <v>120713500</v>
      </c>
    </row>
    <row r="80" spans="1:6">
      <c r="A80" s="20"/>
      <c r="B80" s="16"/>
      <c r="C80" s="21" t="s">
        <v>88</v>
      </c>
      <c r="D80" s="22">
        <f>SUM(D50:D79)</f>
        <v>340000000</v>
      </c>
      <c r="E80" s="22">
        <f>SUM(E50:E79)</f>
        <v>219286500</v>
      </c>
      <c r="F80" s="24">
        <f>D80-E80</f>
        <v>120713500</v>
      </c>
    </row>
    <row r="82" spans="1:9">
      <c r="A82" s="94" t="s">
        <v>0</v>
      </c>
      <c r="B82" s="94"/>
      <c r="C82" s="6" t="s">
        <v>1</v>
      </c>
      <c r="D82" s="7" t="s">
        <v>2</v>
      </c>
      <c r="E82" s="7" t="s">
        <v>3</v>
      </c>
      <c r="F82" s="7" t="s">
        <v>4</v>
      </c>
    </row>
    <row r="83" spans="1:9">
      <c r="A83" s="8">
        <v>2025</v>
      </c>
      <c r="B83" s="9"/>
      <c r="C83" s="10" t="s">
        <v>87</v>
      </c>
      <c r="D83" s="11">
        <f>D80</f>
        <v>340000000</v>
      </c>
      <c r="E83" s="11">
        <f>E80</f>
        <v>219286500</v>
      </c>
      <c r="F83" s="11">
        <f>F80</f>
        <v>120713500</v>
      </c>
    </row>
    <row r="84" spans="1:9">
      <c r="A84" s="12"/>
      <c r="B84" s="16">
        <v>7</v>
      </c>
      <c r="C84" s="54" t="s">
        <v>190</v>
      </c>
      <c r="D84" s="19"/>
      <c r="E84" s="18"/>
      <c r="F84" s="22">
        <f>F83+D84-E84</f>
        <v>120713500</v>
      </c>
      <c r="H84" s="25">
        <f>E85</f>
        <v>1748000</v>
      </c>
    </row>
    <row r="85" spans="1:9">
      <c r="A85" s="12"/>
      <c r="B85" s="16"/>
      <c r="C85" s="55" t="s">
        <v>191</v>
      </c>
      <c r="D85" s="19"/>
      <c r="E85" s="18">
        <f>76*23000</f>
        <v>1748000</v>
      </c>
      <c r="F85" s="22">
        <f t="shared" ref="F85:F133" si="3">F84+D85-E85</f>
        <v>118965500</v>
      </c>
      <c r="H85" s="25">
        <f>SUM(E87:E89)</f>
        <v>4652000</v>
      </c>
    </row>
    <row r="86" spans="1:9">
      <c r="A86" s="12"/>
      <c r="B86" s="16">
        <v>8</v>
      </c>
      <c r="C86" s="54" t="s">
        <v>192</v>
      </c>
      <c r="D86" s="19"/>
      <c r="E86" s="18"/>
      <c r="F86" s="22">
        <f t="shared" si="3"/>
        <v>118965500</v>
      </c>
      <c r="H86" s="25">
        <f>E91</f>
        <v>350000</v>
      </c>
    </row>
    <row r="87" spans="1:9">
      <c r="A87" s="12"/>
      <c r="B87" s="16"/>
      <c r="C87" s="54" t="s">
        <v>193</v>
      </c>
      <c r="D87" s="19"/>
      <c r="E87" s="18">
        <f>38*50000</f>
        <v>1900000</v>
      </c>
      <c r="F87" s="22">
        <f t="shared" si="3"/>
        <v>117065500</v>
      </c>
      <c r="H87" s="25">
        <f>SUM(E93:E95)</f>
        <v>1920000</v>
      </c>
    </row>
    <row r="88" spans="1:9">
      <c r="A88" s="12"/>
      <c r="B88" s="16"/>
      <c r="C88" s="54" t="s">
        <v>194</v>
      </c>
      <c r="D88" s="37"/>
      <c r="E88" s="19">
        <f>104*23000</f>
        <v>2392000</v>
      </c>
      <c r="F88" s="22">
        <f t="shared" si="3"/>
        <v>114673500</v>
      </c>
      <c r="H88" s="25">
        <f>SUM(E97:E99)</f>
        <v>1945000</v>
      </c>
    </row>
    <row r="89" spans="1:9">
      <c r="A89" s="12"/>
      <c r="B89" s="16"/>
      <c r="C89" s="55" t="s">
        <v>195</v>
      </c>
      <c r="D89" s="37"/>
      <c r="E89" s="19">
        <f>6*60000</f>
        <v>360000</v>
      </c>
      <c r="F89" s="22">
        <f t="shared" si="3"/>
        <v>114313500</v>
      </c>
      <c r="H89" s="25">
        <f>SUM(E101:E104)</f>
        <v>3119000</v>
      </c>
    </row>
    <row r="90" spans="1:9">
      <c r="A90" s="12"/>
      <c r="B90" s="16">
        <v>9</v>
      </c>
      <c r="C90" s="54" t="s">
        <v>196</v>
      </c>
      <c r="D90" s="19"/>
      <c r="E90" s="18"/>
      <c r="F90" s="22">
        <f t="shared" si="3"/>
        <v>114313500</v>
      </c>
      <c r="H90" s="25">
        <f>SUM(E106:E107)</f>
        <v>669000</v>
      </c>
    </row>
    <row r="91" spans="1:9">
      <c r="A91" s="12"/>
      <c r="B91" s="16"/>
      <c r="C91" s="19" t="s">
        <v>197</v>
      </c>
      <c r="D91" s="19"/>
      <c r="E91" s="18">
        <f>350000</f>
        <v>350000</v>
      </c>
      <c r="F91" s="22">
        <f t="shared" si="3"/>
        <v>113963500</v>
      </c>
      <c r="H91" s="25">
        <f>SUM(E109:E111)</f>
        <v>4280000</v>
      </c>
    </row>
    <row r="92" spans="1:9">
      <c r="A92" s="12"/>
      <c r="B92" s="16">
        <v>9</v>
      </c>
      <c r="C92" s="54" t="s">
        <v>198</v>
      </c>
      <c r="D92" s="19"/>
      <c r="E92" s="18"/>
      <c r="F92" s="22">
        <f t="shared" si="3"/>
        <v>113963500</v>
      </c>
      <c r="H92" s="25">
        <f>E113</f>
        <v>3000000</v>
      </c>
    </row>
    <row r="93" spans="1:9">
      <c r="A93" s="12"/>
      <c r="B93" s="16"/>
      <c r="C93" s="54" t="s">
        <v>199</v>
      </c>
      <c r="D93" s="19"/>
      <c r="E93" s="18">
        <f>21*50000</f>
        <v>1050000</v>
      </c>
      <c r="F93" s="22">
        <f t="shared" si="3"/>
        <v>112913500</v>
      </c>
      <c r="H93" s="25">
        <f>E115</f>
        <v>1000000</v>
      </c>
    </row>
    <row r="94" spans="1:9">
      <c r="A94" s="12"/>
      <c r="B94" s="16"/>
      <c r="C94" s="55" t="s">
        <v>165</v>
      </c>
      <c r="D94" s="19"/>
      <c r="E94" s="18">
        <f>3*60000</f>
        <v>180000</v>
      </c>
      <c r="F94" s="22">
        <f t="shared" si="3"/>
        <v>112733500</v>
      </c>
      <c r="H94" s="25">
        <f>SUM(H84:H93)</f>
        <v>22683000</v>
      </c>
      <c r="I94" s="25">
        <f>SUM(E85:E115)</f>
        <v>22683000</v>
      </c>
    </row>
    <row r="95" spans="1:9">
      <c r="A95" s="12"/>
      <c r="B95" s="16"/>
      <c r="C95" s="54" t="s">
        <v>200</v>
      </c>
      <c r="D95" s="19"/>
      <c r="E95" s="18">
        <f>30*23000</f>
        <v>690000</v>
      </c>
      <c r="F95" s="22">
        <f t="shared" si="3"/>
        <v>112043500</v>
      </c>
    </row>
    <row r="96" spans="1:9">
      <c r="A96" s="12"/>
      <c r="B96" s="16">
        <v>10</v>
      </c>
      <c r="C96" s="54" t="s">
        <v>201</v>
      </c>
      <c r="D96" s="19"/>
      <c r="E96" s="18"/>
      <c r="F96" s="22">
        <f t="shared" si="3"/>
        <v>112043500</v>
      </c>
      <c r="H96" s="25">
        <f>SUM(E117:E132)</f>
        <v>16350000</v>
      </c>
      <c r="I96" s="25">
        <f>SUM(I94,H96,H98)</f>
        <v>39363000</v>
      </c>
    </row>
    <row r="97" spans="1:8">
      <c r="A97" s="12"/>
      <c r="B97" s="16"/>
      <c r="C97" s="54" t="s">
        <v>202</v>
      </c>
      <c r="D97" s="19"/>
      <c r="E97" s="18">
        <f>75*23000</f>
        <v>1725000</v>
      </c>
      <c r="F97" s="22">
        <f t="shared" si="3"/>
        <v>110318500</v>
      </c>
    </row>
    <row r="98" spans="1:8">
      <c r="A98" s="12"/>
      <c r="B98" s="16"/>
      <c r="C98" s="54" t="s">
        <v>203</v>
      </c>
      <c r="D98" s="19"/>
      <c r="E98" s="18">
        <f>2*50000</f>
        <v>100000</v>
      </c>
      <c r="F98" s="22">
        <f t="shared" si="3"/>
        <v>110218500</v>
      </c>
      <c r="H98" s="25">
        <f>E133</f>
        <v>330000</v>
      </c>
    </row>
    <row r="99" spans="1:8">
      <c r="A99" s="12"/>
      <c r="B99" s="16"/>
      <c r="C99" s="54" t="s">
        <v>204</v>
      </c>
      <c r="D99" s="19"/>
      <c r="E99" s="18">
        <f>2*60000</f>
        <v>120000</v>
      </c>
      <c r="F99" s="22">
        <f t="shared" si="3"/>
        <v>110098500</v>
      </c>
    </row>
    <row r="100" spans="1:8">
      <c r="A100" s="12"/>
      <c r="B100" s="16">
        <v>10</v>
      </c>
      <c r="C100" s="54" t="s">
        <v>205</v>
      </c>
      <c r="D100" s="19"/>
      <c r="E100" s="18"/>
      <c r="F100" s="22">
        <f t="shared" si="3"/>
        <v>110098500</v>
      </c>
    </row>
    <row r="101" spans="1:8">
      <c r="A101" s="12"/>
      <c r="B101" s="16"/>
      <c r="C101" s="54" t="s">
        <v>206</v>
      </c>
      <c r="D101" s="19"/>
      <c r="E101" s="18">
        <f>7*60000</f>
        <v>420000</v>
      </c>
      <c r="F101" s="22">
        <f t="shared" si="3"/>
        <v>109678500</v>
      </c>
    </row>
    <row r="102" spans="1:8">
      <c r="A102" s="12"/>
      <c r="B102" s="16"/>
      <c r="C102" s="54" t="s">
        <v>207</v>
      </c>
      <c r="D102" s="19"/>
      <c r="E102" s="18">
        <f>25*50000</f>
        <v>1250000</v>
      </c>
      <c r="F102" s="22">
        <f t="shared" si="3"/>
        <v>108428500</v>
      </c>
    </row>
    <row r="103" spans="1:8">
      <c r="A103" s="12"/>
      <c r="B103" s="16"/>
      <c r="C103" s="54" t="s">
        <v>208</v>
      </c>
      <c r="D103" s="19"/>
      <c r="E103" s="18">
        <f>37*23000</f>
        <v>851000</v>
      </c>
      <c r="F103" s="22">
        <f t="shared" si="3"/>
        <v>107577500</v>
      </c>
    </row>
    <row r="104" spans="1:8">
      <c r="A104" s="12"/>
      <c r="B104" s="16"/>
      <c r="C104" s="54" t="s">
        <v>209</v>
      </c>
      <c r="D104" s="19"/>
      <c r="E104" s="18">
        <f>26*23000</f>
        <v>598000</v>
      </c>
      <c r="F104" s="22">
        <f t="shared" si="3"/>
        <v>106979500</v>
      </c>
    </row>
    <row r="105" spans="1:8">
      <c r="A105" s="12"/>
      <c r="B105" s="16">
        <v>11</v>
      </c>
      <c r="C105" s="54" t="s">
        <v>210</v>
      </c>
      <c r="D105" s="19"/>
      <c r="E105" s="18"/>
      <c r="F105" s="22">
        <f t="shared" si="3"/>
        <v>106979500</v>
      </c>
    </row>
    <row r="106" spans="1:8">
      <c r="A106" s="12"/>
      <c r="B106" s="16"/>
      <c r="C106" s="55" t="s">
        <v>211</v>
      </c>
      <c r="D106" s="19"/>
      <c r="E106" s="18">
        <f>10*60000</f>
        <v>600000</v>
      </c>
      <c r="F106" s="22">
        <f t="shared" si="3"/>
        <v>106379500</v>
      </c>
    </row>
    <row r="107" spans="1:8">
      <c r="A107" s="12"/>
      <c r="B107" s="16"/>
      <c r="C107" s="54" t="s">
        <v>212</v>
      </c>
      <c r="D107" s="19"/>
      <c r="E107" s="18">
        <f>3*23000</f>
        <v>69000</v>
      </c>
      <c r="F107" s="22">
        <f t="shared" si="3"/>
        <v>106310500</v>
      </c>
    </row>
    <row r="108" spans="1:8">
      <c r="A108" s="12"/>
      <c r="B108" s="16">
        <v>14</v>
      </c>
      <c r="C108" s="54" t="s">
        <v>213</v>
      </c>
      <c r="D108" s="19"/>
      <c r="E108" s="18"/>
      <c r="F108" s="22">
        <f t="shared" si="3"/>
        <v>106310500</v>
      </c>
    </row>
    <row r="109" spans="1:8">
      <c r="A109" s="12"/>
      <c r="B109" s="16"/>
      <c r="C109" s="54" t="s">
        <v>214</v>
      </c>
      <c r="D109" s="19"/>
      <c r="E109" s="18">
        <f>50*23000</f>
        <v>1150000</v>
      </c>
      <c r="F109" s="22">
        <f t="shared" si="3"/>
        <v>105160500</v>
      </c>
    </row>
    <row r="110" spans="1:8">
      <c r="A110" s="12"/>
      <c r="B110" s="16"/>
      <c r="C110" s="54" t="s">
        <v>215</v>
      </c>
      <c r="D110" s="19"/>
      <c r="E110" s="18">
        <f>110*23000</f>
        <v>2530000</v>
      </c>
      <c r="F110" s="22">
        <f t="shared" si="3"/>
        <v>102630500</v>
      </c>
    </row>
    <row r="111" spans="1:8">
      <c r="A111" s="12"/>
      <c r="B111" s="16"/>
      <c r="C111" s="55" t="s">
        <v>211</v>
      </c>
      <c r="D111" s="19"/>
      <c r="E111" s="18">
        <f>10*60000</f>
        <v>600000</v>
      </c>
      <c r="F111" s="22">
        <f t="shared" si="3"/>
        <v>102030500</v>
      </c>
    </row>
    <row r="112" spans="1:8">
      <c r="A112" s="12"/>
      <c r="B112" s="16">
        <v>14</v>
      </c>
      <c r="C112" s="54" t="s">
        <v>216</v>
      </c>
      <c r="D112" s="19"/>
      <c r="E112" s="18"/>
      <c r="F112" s="22">
        <f t="shared" si="3"/>
        <v>102030500</v>
      </c>
    </row>
    <row r="113" spans="1:6">
      <c r="A113" s="12"/>
      <c r="B113" s="16"/>
      <c r="C113" s="55" t="s">
        <v>217</v>
      </c>
      <c r="D113" s="19"/>
      <c r="E113" s="18">
        <f>200*15000</f>
        <v>3000000</v>
      </c>
      <c r="F113" s="22">
        <f t="shared" si="3"/>
        <v>99030500</v>
      </c>
    </row>
    <row r="114" spans="1:6">
      <c r="A114" s="12"/>
      <c r="B114" s="16">
        <v>14</v>
      </c>
      <c r="C114" s="54" t="s">
        <v>229</v>
      </c>
      <c r="D114" s="19"/>
      <c r="E114" s="18"/>
      <c r="F114" s="22">
        <f t="shared" si="3"/>
        <v>99030500</v>
      </c>
    </row>
    <row r="115" spans="1:6">
      <c r="A115" s="12"/>
      <c r="B115" s="16"/>
      <c r="C115" s="55" t="s">
        <v>218</v>
      </c>
      <c r="D115" s="19"/>
      <c r="E115" s="18">
        <v>1000000</v>
      </c>
      <c r="F115" s="22">
        <f t="shared" si="3"/>
        <v>98030500</v>
      </c>
    </row>
    <row r="116" spans="1:6">
      <c r="A116" s="12"/>
      <c r="B116" s="16">
        <v>14</v>
      </c>
      <c r="C116" s="55" t="s">
        <v>219</v>
      </c>
      <c r="D116" s="19"/>
      <c r="E116" s="18"/>
      <c r="F116" s="22">
        <f t="shared" si="3"/>
        <v>98030500</v>
      </c>
    </row>
    <row r="117" spans="1:6">
      <c r="A117" s="12"/>
      <c r="B117" s="16"/>
      <c r="C117" s="55" t="s">
        <v>113</v>
      </c>
      <c r="D117" s="19"/>
      <c r="E117" s="18">
        <f>8*150000</f>
        <v>1200000</v>
      </c>
      <c r="F117" s="22">
        <f t="shared" si="3"/>
        <v>96830500</v>
      </c>
    </row>
    <row r="118" spans="1:6">
      <c r="A118" s="12"/>
      <c r="B118" s="16"/>
      <c r="C118" s="55" t="s">
        <v>220</v>
      </c>
      <c r="D118" s="19"/>
      <c r="E118" s="18">
        <f>8*150000</f>
        <v>1200000</v>
      </c>
      <c r="F118" s="22">
        <f t="shared" si="3"/>
        <v>95630500</v>
      </c>
    </row>
    <row r="119" spans="1:6">
      <c r="A119" s="12"/>
      <c r="B119" s="16"/>
      <c r="C119" s="55" t="s">
        <v>221</v>
      </c>
      <c r="D119" s="19"/>
      <c r="E119" s="18">
        <f>4*150000</f>
        <v>600000</v>
      </c>
      <c r="F119" s="22">
        <f t="shared" si="3"/>
        <v>95030500</v>
      </c>
    </row>
    <row r="120" spans="1:6">
      <c r="A120" s="12"/>
      <c r="B120" s="16"/>
      <c r="C120" s="55" t="s">
        <v>116</v>
      </c>
      <c r="D120" s="19"/>
      <c r="E120" s="18">
        <f>8*150000</f>
        <v>1200000</v>
      </c>
      <c r="F120" s="22">
        <f t="shared" si="3"/>
        <v>93830500</v>
      </c>
    </row>
    <row r="121" spans="1:6">
      <c r="A121" s="12"/>
      <c r="B121" s="16"/>
      <c r="C121" s="55" t="s">
        <v>222</v>
      </c>
      <c r="D121" s="19"/>
      <c r="E121" s="18">
        <f>7*150000</f>
        <v>1050000</v>
      </c>
      <c r="F121" s="22">
        <f t="shared" si="3"/>
        <v>92780500</v>
      </c>
    </row>
    <row r="122" spans="1:6">
      <c r="A122" s="12"/>
      <c r="B122" s="16"/>
      <c r="C122" s="55" t="s">
        <v>223</v>
      </c>
      <c r="D122" s="19"/>
      <c r="E122" s="18">
        <f>4*150000</f>
        <v>600000</v>
      </c>
      <c r="F122" s="22">
        <f t="shared" si="3"/>
        <v>92180500</v>
      </c>
    </row>
    <row r="123" spans="1:6">
      <c r="A123" s="12"/>
      <c r="B123" s="16"/>
      <c r="C123" s="55" t="s">
        <v>119</v>
      </c>
      <c r="D123" s="19"/>
      <c r="E123" s="18">
        <f>8*150000</f>
        <v>1200000</v>
      </c>
      <c r="F123" s="22">
        <f t="shared" si="3"/>
        <v>90980500</v>
      </c>
    </row>
    <row r="124" spans="1:6">
      <c r="A124" s="12"/>
      <c r="B124" s="16"/>
      <c r="C124" s="55" t="s">
        <v>224</v>
      </c>
      <c r="D124" s="19"/>
      <c r="E124" s="18">
        <f>7*150000</f>
        <v>1050000</v>
      </c>
      <c r="F124" s="22">
        <f t="shared" si="3"/>
        <v>89930500</v>
      </c>
    </row>
    <row r="125" spans="1:6">
      <c r="A125" s="12"/>
      <c r="B125" s="16"/>
      <c r="C125" s="55" t="s">
        <v>121</v>
      </c>
      <c r="D125" s="19"/>
      <c r="E125" s="18">
        <f>8*150000</f>
        <v>1200000</v>
      </c>
      <c r="F125" s="22">
        <f t="shared" si="3"/>
        <v>88730500</v>
      </c>
    </row>
    <row r="126" spans="1:6">
      <c r="A126" s="12"/>
      <c r="B126" s="16"/>
      <c r="C126" s="55" t="s">
        <v>177</v>
      </c>
      <c r="D126" s="19"/>
      <c r="E126" s="18">
        <f>6*150000</f>
        <v>900000</v>
      </c>
      <c r="F126" s="22">
        <f t="shared" si="3"/>
        <v>87830500</v>
      </c>
    </row>
    <row r="127" spans="1:6">
      <c r="A127" s="12"/>
      <c r="B127" s="16"/>
      <c r="C127" s="55" t="s">
        <v>225</v>
      </c>
      <c r="D127" s="19"/>
      <c r="E127" s="18">
        <f>5*150000</f>
        <v>750000</v>
      </c>
      <c r="F127" s="22">
        <f t="shared" si="3"/>
        <v>87080500</v>
      </c>
    </row>
    <row r="128" spans="1:6">
      <c r="A128" s="12"/>
      <c r="B128" s="16"/>
      <c r="C128" s="55" t="s">
        <v>111</v>
      </c>
      <c r="D128" s="19"/>
      <c r="E128" s="18">
        <f>7*150000</f>
        <v>1050000</v>
      </c>
      <c r="F128" s="22">
        <f t="shared" si="3"/>
        <v>86030500</v>
      </c>
    </row>
    <row r="129" spans="1:8">
      <c r="A129" s="12"/>
      <c r="B129" s="16"/>
      <c r="C129" s="55" t="s">
        <v>226</v>
      </c>
      <c r="D129" s="19"/>
      <c r="E129" s="18">
        <f>8*150000</f>
        <v>1200000</v>
      </c>
      <c r="F129" s="22">
        <f t="shared" si="3"/>
        <v>84830500</v>
      </c>
    </row>
    <row r="130" spans="1:8">
      <c r="A130" s="12"/>
      <c r="B130" s="16"/>
      <c r="C130" s="53" t="s">
        <v>182</v>
      </c>
      <c r="D130" s="19"/>
      <c r="E130" s="18">
        <f>6*150000</f>
        <v>900000</v>
      </c>
      <c r="F130" s="22">
        <f t="shared" si="3"/>
        <v>83930500</v>
      </c>
    </row>
    <row r="131" spans="1:8">
      <c r="A131" s="12"/>
      <c r="B131" s="16"/>
      <c r="C131" s="55" t="s">
        <v>227</v>
      </c>
      <c r="D131" s="19"/>
      <c r="E131" s="18">
        <f>7*150000</f>
        <v>1050000</v>
      </c>
      <c r="F131" s="22">
        <f t="shared" si="3"/>
        <v>82880500</v>
      </c>
    </row>
    <row r="132" spans="1:8">
      <c r="A132" s="12"/>
      <c r="B132" s="16"/>
      <c r="C132" s="55" t="s">
        <v>228</v>
      </c>
      <c r="D132" s="19"/>
      <c r="E132" s="18">
        <f>8*150000</f>
        <v>1200000</v>
      </c>
      <c r="F132" s="22">
        <f t="shared" si="3"/>
        <v>81680500</v>
      </c>
    </row>
    <row r="133" spans="1:8">
      <c r="A133" s="12"/>
      <c r="B133" s="16">
        <v>14</v>
      </c>
      <c r="C133" s="55" t="s">
        <v>186</v>
      </c>
      <c r="D133" s="19"/>
      <c r="E133" s="18">
        <f>80000+50000+100000+100000</f>
        <v>330000</v>
      </c>
      <c r="F133" s="22">
        <f t="shared" si="3"/>
        <v>81350500</v>
      </c>
    </row>
    <row r="134" spans="1:8">
      <c r="A134" s="20"/>
      <c r="B134" s="16"/>
      <c r="C134" s="21" t="s">
        <v>88</v>
      </c>
      <c r="D134" s="22">
        <f>SUM(D83:D133)</f>
        <v>340000000</v>
      </c>
      <c r="E134" s="22">
        <f>SUM(E83:E133)</f>
        <v>258649500</v>
      </c>
      <c r="F134" s="24">
        <f>D134-E134</f>
        <v>81350500</v>
      </c>
    </row>
    <row r="136" spans="1:8">
      <c r="A136" s="94" t="s">
        <v>0</v>
      </c>
      <c r="B136" s="94"/>
      <c r="C136" s="6" t="s">
        <v>1</v>
      </c>
      <c r="D136" s="7" t="s">
        <v>2</v>
      </c>
      <c r="E136" s="7" t="s">
        <v>3</v>
      </c>
      <c r="F136" s="7" t="s">
        <v>4</v>
      </c>
    </row>
    <row r="137" spans="1:8">
      <c r="A137" s="8">
        <v>2025</v>
      </c>
      <c r="B137" s="9"/>
      <c r="C137" s="10" t="s">
        <v>87</v>
      </c>
      <c r="D137" s="11">
        <f>D134</f>
        <v>340000000</v>
      </c>
      <c r="E137" s="11">
        <f>E134</f>
        <v>258649500</v>
      </c>
      <c r="F137" s="11">
        <f>F134</f>
        <v>81350500</v>
      </c>
    </row>
    <row r="138" spans="1:8">
      <c r="A138" s="12"/>
      <c r="B138" s="16">
        <v>17</v>
      </c>
      <c r="C138" s="56" t="s">
        <v>230</v>
      </c>
      <c r="D138" s="19"/>
      <c r="E138" s="18"/>
      <c r="F138" s="22">
        <f>F137+D138-E138</f>
        <v>81350500</v>
      </c>
    </row>
    <row r="139" spans="1:8">
      <c r="A139" s="12"/>
      <c r="B139" s="16"/>
      <c r="C139" s="57" t="s">
        <v>231</v>
      </c>
      <c r="D139" s="19"/>
      <c r="E139" s="18">
        <f>52*23000</f>
        <v>1196000</v>
      </c>
      <c r="F139" s="22">
        <f t="shared" ref="F139:F169" si="4">F138+D139-E139</f>
        <v>80154500</v>
      </c>
      <c r="H139" s="25">
        <f>SUM(E139:E140)</f>
        <v>2001000</v>
      </c>
    </row>
    <row r="140" spans="1:8">
      <c r="A140" s="12"/>
      <c r="B140" s="16"/>
      <c r="C140" s="56" t="s">
        <v>232</v>
      </c>
      <c r="D140" s="19"/>
      <c r="E140" s="18">
        <f>35*23000</f>
        <v>805000</v>
      </c>
      <c r="F140" s="22">
        <f t="shared" si="4"/>
        <v>79349500</v>
      </c>
    </row>
    <row r="141" spans="1:8">
      <c r="A141" s="12"/>
      <c r="B141" s="16">
        <v>18</v>
      </c>
      <c r="C141" s="56" t="s">
        <v>233</v>
      </c>
      <c r="D141" s="19"/>
      <c r="E141" s="18"/>
      <c r="F141" s="22">
        <f t="shared" si="4"/>
        <v>79349500</v>
      </c>
    </row>
    <row r="142" spans="1:8">
      <c r="A142" s="12"/>
      <c r="B142" s="16"/>
      <c r="C142" s="57" t="s">
        <v>234</v>
      </c>
      <c r="D142" s="37"/>
      <c r="E142" s="19">
        <f>160*23000</f>
        <v>3680000</v>
      </c>
      <c r="F142" s="22">
        <f t="shared" si="4"/>
        <v>75669500</v>
      </c>
      <c r="H142" s="23">
        <f>SUM(E142:E143)</f>
        <v>4738000</v>
      </c>
    </row>
    <row r="143" spans="1:8">
      <c r="A143" s="12"/>
      <c r="B143" s="16"/>
      <c r="C143" s="56" t="s">
        <v>235</v>
      </c>
      <c r="D143" s="37"/>
      <c r="E143" s="19">
        <f>46*23000</f>
        <v>1058000</v>
      </c>
      <c r="F143" s="22">
        <f t="shared" si="4"/>
        <v>74611500</v>
      </c>
    </row>
    <row r="144" spans="1:8">
      <c r="A144" s="12"/>
      <c r="B144" s="16">
        <v>20</v>
      </c>
      <c r="C144" s="56" t="s">
        <v>238</v>
      </c>
      <c r="D144" s="19"/>
      <c r="E144" s="18"/>
      <c r="F144" s="22">
        <f t="shared" si="4"/>
        <v>74611500</v>
      </c>
    </row>
    <row r="145" spans="1:8">
      <c r="A145" s="12"/>
      <c r="B145" s="16"/>
      <c r="C145" s="57" t="s">
        <v>236</v>
      </c>
      <c r="D145" s="19"/>
      <c r="E145" s="18">
        <f>63*23000</f>
        <v>1449000</v>
      </c>
      <c r="F145" s="22">
        <f t="shared" si="4"/>
        <v>73162500</v>
      </c>
      <c r="H145" s="25">
        <f>SUM(E145:E146)</f>
        <v>1599000</v>
      </c>
    </row>
    <row r="146" spans="1:8">
      <c r="A146" s="12"/>
      <c r="B146" s="16"/>
      <c r="C146" s="56" t="s">
        <v>237</v>
      </c>
      <c r="D146" s="19"/>
      <c r="E146" s="18">
        <f>3*50000</f>
        <v>150000</v>
      </c>
      <c r="F146" s="22">
        <f t="shared" si="4"/>
        <v>73012500</v>
      </c>
    </row>
    <row r="147" spans="1:8">
      <c r="A147" s="12"/>
      <c r="B147" s="16">
        <v>20</v>
      </c>
      <c r="C147" s="56" t="s">
        <v>246</v>
      </c>
      <c r="D147" s="19"/>
      <c r="E147" s="18"/>
      <c r="F147" s="22">
        <f t="shared" si="4"/>
        <v>73012500</v>
      </c>
    </row>
    <row r="148" spans="1:8">
      <c r="A148" s="12"/>
      <c r="B148" s="16"/>
      <c r="C148" s="57" t="s">
        <v>239</v>
      </c>
      <c r="D148" s="19"/>
      <c r="E148" s="18">
        <f>103*23000</f>
        <v>2369000</v>
      </c>
      <c r="F148" s="22">
        <f t="shared" si="4"/>
        <v>70643500</v>
      </c>
      <c r="H148" s="25">
        <f>SUM(E148:E150)</f>
        <v>3933000</v>
      </c>
    </row>
    <row r="149" spans="1:8">
      <c r="A149" s="12"/>
      <c r="B149" s="16"/>
      <c r="C149" s="56" t="s">
        <v>240</v>
      </c>
      <c r="D149" s="19"/>
      <c r="E149" s="18">
        <f>41*23000</f>
        <v>943000</v>
      </c>
      <c r="F149" s="22">
        <f t="shared" si="4"/>
        <v>69700500</v>
      </c>
    </row>
    <row r="150" spans="1:8">
      <c r="A150" s="12"/>
      <c r="B150" s="16"/>
      <c r="C150" s="56" t="s">
        <v>241</v>
      </c>
      <c r="D150" s="19"/>
      <c r="E150" s="18">
        <f>27*23000</f>
        <v>621000</v>
      </c>
      <c r="F150" s="22">
        <f t="shared" si="4"/>
        <v>69079500</v>
      </c>
    </row>
    <row r="151" spans="1:8">
      <c r="A151" s="12"/>
      <c r="B151" s="16">
        <v>20</v>
      </c>
      <c r="C151" s="57" t="s">
        <v>242</v>
      </c>
      <c r="D151" s="19"/>
      <c r="E151" s="18"/>
      <c r="F151" s="22">
        <f t="shared" si="4"/>
        <v>69079500</v>
      </c>
    </row>
    <row r="152" spans="1:8">
      <c r="A152" s="12"/>
      <c r="B152" s="16"/>
      <c r="C152" s="57" t="s">
        <v>169</v>
      </c>
      <c r="D152" s="19"/>
      <c r="E152" s="18">
        <f>6*150000</f>
        <v>900000</v>
      </c>
      <c r="F152" s="22">
        <f t="shared" si="4"/>
        <v>68179500</v>
      </c>
      <c r="H152" s="25">
        <f>SUM(E152:E167)</f>
        <v>13200000</v>
      </c>
    </row>
    <row r="153" spans="1:8">
      <c r="A153" s="12"/>
      <c r="B153" s="16"/>
      <c r="C153" s="57" t="s">
        <v>181</v>
      </c>
      <c r="D153" s="19"/>
      <c r="E153" s="18">
        <f t="shared" ref="E153:E167" si="5">6*150000</f>
        <v>900000</v>
      </c>
      <c r="F153" s="22">
        <f t="shared" si="4"/>
        <v>67279500</v>
      </c>
    </row>
    <row r="154" spans="1:8">
      <c r="A154" s="12"/>
      <c r="B154" s="16"/>
      <c r="C154" s="57" t="s">
        <v>243</v>
      </c>
      <c r="D154" s="19"/>
      <c r="E154" s="18">
        <f>0*150000</f>
        <v>0</v>
      </c>
      <c r="F154" s="22">
        <f t="shared" si="4"/>
        <v>67279500</v>
      </c>
      <c r="H154" s="25">
        <f>E168</f>
        <v>310000</v>
      </c>
    </row>
    <row r="155" spans="1:8">
      <c r="A155" s="12"/>
      <c r="B155" s="16"/>
      <c r="C155" s="57" t="s">
        <v>171</v>
      </c>
      <c r="D155" s="19"/>
      <c r="E155" s="18">
        <f t="shared" si="5"/>
        <v>900000</v>
      </c>
      <c r="F155" s="22">
        <f t="shared" si="4"/>
        <v>66379500</v>
      </c>
      <c r="H155" s="25">
        <f>E169</f>
        <v>1000000</v>
      </c>
    </row>
    <row r="156" spans="1:8">
      <c r="A156" s="12"/>
      <c r="B156" s="16"/>
      <c r="C156" s="57" t="s">
        <v>172</v>
      </c>
      <c r="D156" s="19"/>
      <c r="E156" s="18">
        <f t="shared" si="5"/>
        <v>900000</v>
      </c>
      <c r="F156" s="22">
        <f t="shared" si="4"/>
        <v>65479500</v>
      </c>
    </row>
    <row r="157" spans="1:8">
      <c r="A157" s="12"/>
      <c r="B157" s="16"/>
      <c r="C157" s="57" t="s">
        <v>72</v>
      </c>
      <c r="D157" s="19"/>
      <c r="E157" s="18">
        <f>5*150000</f>
        <v>750000</v>
      </c>
      <c r="F157" s="22">
        <f t="shared" si="4"/>
        <v>64729500</v>
      </c>
      <c r="H157" s="25">
        <f>SUM(H139:H155)</f>
        <v>26781000</v>
      </c>
    </row>
    <row r="158" spans="1:8">
      <c r="A158" s="12"/>
      <c r="B158" s="16"/>
      <c r="C158" s="57" t="s">
        <v>174</v>
      </c>
      <c r="D158" s="19"/>
      <c r="E158" s="18">
        <f t="shared" si="5"/>
        <v>900000</v>
      </c>
      <c r="F158" s="22">
        <f t="shared" si="4"/>
        <v>63829500</v>
      </c>
    </row>
    <row r="159" spans="1:8">
      <c r="A159" s="12"/>
      <c r="B159" s="16"/>
      <c r="C159" s="57" t="s">
        <v>175</v>
      </c>
      <c r="D159" s="19"/>
      <c r="E159" s="18">
        <f t="shared" si="5"/>
        <v>900000</v>
      </c>
      <c r="F159" s="22">
        <f t="shared" si="4"/>
        <v>62929500</v>
      </c>
    </row>
    <row r="160" spans="1:8">
      <c r="A160" s="12"/>
      <c r="B160" s="16"/>
      <c r="C160" s="57" t="s">
        <v>176</v>
      </c>
      <c r="D160" s="19"/>
      <c r="E160" s="18">
        <f t="shared" si="5"/>
        <v>900000</v>
      </c>
      <c r="F160" s="22">
        <f t="shared" si="4"/>
        <v>62029500</v>
      </c>
    </row>
    <row r="161" spans="1:10">
      <c r="A161" s="12"/>
      <c r="B161" s="16"/>
      <c r="C161" s="55" t="s">
        <v>177</v>
      </c>
      <c r="D161" s="19"/>
      <c r="E161" s="18">
        <f t="shared" si="5"/>
        <v>900000</v>
      </c>
      <c r="F161" s="22">
        <f t="shared" si="4"/>
        <v>61129500</v>
      </c>
    </row>
    <row r="162" spans="1:10">
      <c r="A162" s="12"/>
      <c r="B162" s="16"/>
      <c r="C162" s="55" t="s">
        <v>225</v>
      </c>
      <c r="D162" s="19"/>
      <c r="E162" s="18">
        <f>5*150000</f>
        <v>750000</v>
      </c>
      <c r="F162" s="22">
        <f t="shared" si="4"/>
        <v>60379500</v>
      </c>
    </row>
    <row r="163" spans="1:10">
      <c r="A163" s="12"/>
      <c r="B163" s="16"/>
      <c r="C163" s="57" t="s">
        <v>179</v>
      </c>
      <c r="D163" s="19"/>
      <c r="E163" s="18">
        <f t="shared" si="5"/>
        <v>900000</v>
      </c>
      <c r="F163" s="22">
        <f t="shared" si="4"/>
        <v>59479500</v>
      </c>
    </row>
    <row r="164" spans="1:10">
      <c r="A164" s="12"/>
      <c r="B164" s="16"/>
      <c r="C164" s="57" t="s">
        <v>244</v>
      </c>
      <c r="D164" s="19"/>
      <c r="E164" s="18">
        <f t="shared" si="5"/>
        <v>900000</v>
      </c>
      <c r="F164" s="22">
        <f t="shared" si="4"/>
        <v>58579500</v>
      </c>
    </row>
    <row r="165" spans="1:10">
      <c r="A165" s="12"/>
      <c r="B165" s="16"/>
      <c r="C165" s="53" t="s">
        <v>182</v>
      </c>
      <c r="D165" s="19"/>
      <c r="E165" s="18">
        <f t="shared" si="5"/>
        <v>900000</v>
      </c>
      <c r="F165" s="22">
        <f t="shared" si="4"/>
        <v>57679500</v>
      </c>
    </row>
    <row r="166" spans="1:10">
      <c r="A166" s="12"/>
      <c r="B166" s="16"/>
      <c r="C166" s="57" t="s">
        <v>183</v>
      </c>
      <c r="D166" s="19"/>
      <c r="E166" s="18">
        <f t="shared" si="5"/>
        <v>900000</v>
      </c>
      <c r="F166" s="22">
        <f t="shared" si="4"/>
        <v>56779500</v>
      </c>
    </row>
    <row r="167" spans="1:10">
      <c r="A167" s="12"/>
      <c r="B167" s="16"/>
      <c r="C167" s="57" t="s">
        <v>184</v>
      </c>
      <c r="D167" s="19"/>
      <c r="E167" s="18">
        <f t="shared" si="5"/>
        <v>900000</v>
      </c>
      <c r="F167" s="22">
        <f t="shared" si="4"/>
        <v>55879500</v>
      </c>
    </row>
    <row r="168" spans="1:10">
      <c r="A168" s="12"/>
      <c r="B168" s="16">
        <v>20</v>
      </c>
      <c r="C168" s="56" t="s">
        <v>186</v>
      </c>
      <c r="D168" s="19"/>
      <c r="E168" s="18">
        <f>80000+60000+70000+100000</f>
        <v>310000</v>
      </c>
      <c r="F168" s="22">
        <f t="shared" si="4"/>
        <v>55569500</v>
      </c>
    </row>
    <row r="169" spans="1:10">
      <c r="A169" s="12"/>
      <c r="B169" s="16">
        <v>20</v>
      </c>
      <c r="C169" s="57" t="s">
        <v>245</v>
      </c>
      <c r="D169" s="19"/>
      <c r="E169" s="18">
        <v>1000000</v>
      </c>
      <c r="F169" s="22">
        <f t="shared" si="4"/>
        <v>54569500</v>
      </c>
      <c r="J169" s="25">
        <f>E169</f>
        <v>1000000</v>
      </c>
    </row>
    <row r="170" spans="1:10">
      <c r="A170" s="20"/>
      <c r="B170" s="16"/>
      <c r="C170" s="21" t="s">
        <v>88</v>
      </c>
      <c r="D170" s="22">
        <f>SUM(D137:D169)</f>
        <v>340000000</v>
      </c>
      <c r="E170" s="22">
        <f>SUM(E137:E169)</f>
        <v>285430500</v>
      </c>
      <c r="F170" s="24">
        <f>D170-E170</f>
        <v>54569500</v>
      </c>
    </row>
    <row r="172" spans="1:10">
      <c r="A172" s="94" t="s">
        <v>0</v>
      </c>
      <c r="B172" s="94"/>
      <c r="C172" s="6" t="s">
        <v>1</v>
      </c>
      <c r="D172" s="7" t="s">
        <v>2</v>
      </c>
      <c r="E172" s="7" t="s">
        <v>3</v>
      </c>
      <c r="F172" s="7" t="s">
        <v>4</v>
      </c>
    </row>
    <row r="173" spans="1:10">
      <c r="A173" s="8">
        <v>2025</v>
      </c>
      <c r="B173" s="9"/>
      <c r="C173" s="10" t="s">
        <v>87</v>
      </c>
      <c r="D173" s="11">
        <f>D170</f>
        <v>340000000</v>
      </c>
      <c r="E173" s="11">
        <f>E170</f>
        <v>285430500</v>
      </c>
      <c r="F173" s="11">
        <f>F170</f>
        <v>54569500</v>
      </c>
    </row>
    <row r="174" spans="1:10">
      <c r="A174" s="12"/>
      <c r="B174" s="16">
        <v>22</v>
      </c>
      <c r="C174" s="59" t="s">
        <v>248</v>
      </c>
      <c r="D174" s="19"/>
      <c r="E174" s="18"/>
      <c r="F174" s="22">
        <f>F173+D174-E174</f>
        <v>54569500</v>
      </c>
    </row>
    <row r="175" spans="1:10">
      <c r="A175" s="12"/>
      <c r="B175" s="16"/>
      <c r="C175" s="58" t="s">
        <v>163</v>
      </c>
      <c r="D175" s="19"/>
      <c r="E175" s="18">
        <f>65*23000</f>
        <v>1495000</v>
      </c>
      <c r="F175" s="22">
        <f t="shared" ref="F175:F238" si="6">F174+D175-E175</f>
        <v>53074500</v>
      </c>
      <c r="H175" s="25">
        <f>SUM(E175:E176)</f>
        <v>1909000</v>
      </c>
    </row>
    <row r="176" spans="1:10">
      <c r="A176" s="12"/>
      <c r="B176" s="16"/>
      <c r="C176" s="59" t="s">
        <v>247</v>
      </c>
      <c r="D176" s="19"/>
      <c r="E176" s="18">
        <f>18*23000</f>
        <v>414000</v>
      </c>
      <c r="F176" s="22">
        <f t="shared" si="6"/>
        <v>52660500</v>
      </c>
    </row>
    <row r="177" spans="1:10">
      <c r="A177" s="12"/>
      <c r="B177" s="16">
        <v>23</v>
      </c>
      <c r="C177" s="59" t="s">
        <v>249</v>
      </c>
      <c r="D177" s="19"/>
      <c r="E177" s="18"/>
      <c r="F177" s="22">
        <f t="shared" si="6"/>
        <v>52660500</v>
      </c>
    </row>
    <row r="178" spans="1:10">
      <c r="A178" s="12"/>
      <c r="B178" s="16"/>
      <c r="C178" s="58" t="s">
        <v>250</v>
      </c>
      <c r="D178" s="19"/>
      <c r="E178" s="18">
        <f>92*23000</f>
        <v>2116000</v>
      </c>
      <c r="F178" s="22">
        <f t="shared" si="6"/>
        <v>50544500</v>
      </c>
      <c r="H178" s="25">
        <f>SUM(E178:E179)</f>
        <v>3496000</v>
      </c>
    </row>
    <row r="179" spans="1:10">
      <c r="A179" s="12"/>
      <c r="B179" s="16"/>
      <c r="C179" s="59" t="s">
        <v>251</v>
      </c>
      <c r="D179" s="19"/>
      <c r="E179" s="18">
        <f>60*23000</f>
        <v>1380000</v>
      </c>
      <c r="F179" s="22">
        <f t="shared" si="6"/>
        <v>49164500</v>
      </c>
      <c r="H179" s="25">
        <f>E180</f>
        <v>130000</v>
      </c>
    </row>
    <row r="180" spans="1:10">
      <c r="A180" s="12"/>
      <c r="B180" s="16">
        <v>23</v>
      </c>
      <c r="C180" s="59" t="s">
        <v>252</v>
      </c>
      <c r="D180" s="19"/>
      <c r="E180" s="18">
        <f>50000+80000</f>
        <v>130000</v>
      </c>
      <c r="F180" s="22">
        <f t="shared" si="6"/>
        <v>49034500</v>
      </c>
      <c r="H180" s="25">
        <f>E181</f>
        <v>1800000</v>
      </c>
    </row>
    <row r="181" spans="1:10">
      <c r="A181" s="12"/>
      <c r="B181" s="16">
        <v>23</v>
      </c>
      <c r="C181" s="58" t="s">
        <v>253</v>
      </c>
      <c r="D181" s="19"/>
      <c r="E181" s="18">
        <v>1800000</v>
      </c>
      <c r="F181" s="22">
        <f t="shared" si="6"/>
        <v>47234500</v>
      </c>
      <c r="H181" s="25">
        <f>E182</f>
        <v>2500000</v>
      </c>
    </row>
    <row r="182" spans="1:10">
      <c r="A182" s="12"/>
      <c r="B182" s="16">
        <v>23</v>
      </c>
      <c r="C182" s="59" t="s">
        <v>245</v>
      </c>
      <c r="D182" s="19"/>
      <c r="E182" s="18">
        <v>2500000</v>
      </c>
      <c r="F182" s="22">
        <f t="shared" si="6"/>
        <v>44734500</v>
      </c>
      <c r="J182" s="25">
        <f>E182</f>
        <v>2500000</v>
      </c>
    </row>
    <row r="183" spans="1:10">
      <c r="A183" s="12"/>
      <c r="B183" s="16">
        <v>25</v>
      </c>
      <c r="C183" s="59" t="s">
        <v>254</v>
      </c>
      <c r="D183" s="19"/>
      <c r="E183" s="18"/>
      <c r="F183" s="22">
        <f t="shared" si="6"/>
        <v>44734500</v>
      </c>
    </row>
    <row r="184" spans="1:10">
      <c r="A184" s="12"/>
      <c r="B184" s="16"/>
      <c r="C184" s="19" t="s">
        <v>255</v>
      </c>
      <c r="D184" s="19"/>
      <c r="E184" s="18">
        <v>300000</v>
      </c>
      <c r="F184" s="22">
        <f t="shared" si="6"/>
        <v>44434500</v>
      </c>
      <c r="H184" s="25">
        <f>SUM(E184:E195)</f>
        <v>2615000</v>
      </c>
    </row>
    <row r="185" spans="1:10">
      <c r="A185" s="12"/>
      <c r="B185" s="16"/>
      <c r="C185" s="19" t="s">
        <v>256</v>
      </c>
      <c r="D185" s="19"/>
      <c r="E185" s="18">
        <v>40000</v>
      </c>
      <c r="F185" s="22">
        <f t="shared" si="6"/>
        <v>44394500</v>
      </c>
    </row>
    <row r="186" spans="1:10">
      <c r="A186" s="12"/>
      <c r="B186" s="16"/>
      <c r="C186" s="19" t="s">
        <v>257</v>
      </c>
      <c r="D186" s="19"/>
      <c r="E186" s="18">
        <v>50000</v>
      </c>
      <c r="F186" s="22">
        <f t="shared" si="6"/>
        <v>44344500</v>
      </c>
    </row>
    <row r="187" spans="1:10">
      <c r="A187" s="12"/>
      <c r="B187" s="16"/>
      <c r="C187" s="19" t="s">
        <v>259</v>
      </c>
      <c r="D187" s="19"/>
      <c r="E187" s="18">
        <v>20000</v>
      </c>
      <c r="F187" s="22">
        <f t="shared" si="6"/>
        <v>44324500</v>
      </c>
    </row>
    <row r="188" spans="1:10">
      <c r="A188" s="12"/>
      <c r="B188" s="16"/>
      <c r="C188" s="19" t="s">
        <v>258</v>
      </c>
      <c r="D188" s="19"/>
      <c r="E188" s="18">
        <v>350000</v>
      </c>
      <c r="F188" s="22">
        <f t="shared" si="6"/>
        <v>43974500</v>
      </c>
    </row>
    <row r="189" spans="1:10">
      <c r="A189" s="12"/>
      <c r="B189" s="16"/>
      <c r="C189" s="19" t="s">
        <v>260</v>
      </c>
      <c r="D189" s="19"/>
      <c r="E189" s="18">
        <f>2*65000</f>
        <v>130000</v>
      </c>
      <c r="F189" s="22">
        <f t="shared" si="6"/>
        <v>43844500</v>
      </c>
    </row>
    <row r="190" spans="1:10">
      <c r="A190" s="12"/>
      <c r="B190" s="16"/>
      <c r="C190" s="19" t="s">
        <v>261</v>
      </c>
      <c r="D190" s="19"/>
      <c r="E190" s="18">
        <f>5*72000</f>
        <v>360000</v>
      </c>
      <c r="F190" s="22">
        <f t="shared" si="6"/>
        <v>43484500</v>
      </c>
    </row>
    <row r="191" spans="1:10">
      <c r="A191" s="12"/>
      <c r="B191" s="16"/>
      <c r="C191" s="19" t="s">
        <v>262</v>
      </c>
      <c r="D191" s="19"/>
      <c r="E191" s="18">
        <f>8*90000</f>
        <v>720000</v>
      </c>
      <c r="F191" s="22">
        <f t="shared" si="6"/>
        <v>42764500</v>
      </c>
    </row>
    <row r="192" spans="1:10">
      <c r="A192" s="12"/>
      <c r="B192" s="16"/>
      <c r="C192" s="19" t="s">
        <v>263</v>
      </c>
      <c r="D192" s="19"/>
      <c r="E192" s="18">
        <f>2*15000</f>
        <v>30000</v>
      </c>
      <c r="F192" s="22">
        <f t="shared" si="6"/>
        <v>42734500</v>
      </c>
    </row>
    <row r="193" spans="1:8">
      <c r="A193" s="12"/>
      <c r="B193" s="16"/>
      <c r="C193" s="59" t="s">
        <v>264</v>
      </c>
      <c r="D193" s="19"/>
      <c r="E193" s="18">
        <v>65000</v>
      </c>
      <c r="F193" s="22">
        <f t="shared" si="6"/>
        <v>42669500</v>
      </c>
    </row>
    <row r="194" spans="1:8">
      <c r="A194" s="12"/>
      <c r="B194" s="16"/>
      <c r="C194" s="19" t="s">
        <v>147</v>
      </c>
      <c r="D194" s="19"/>
      <c r="E194" s="18">
        <v>50000</v>
      </c>
      <c r="F194" s="22">
        <f t="shared" si="6"/>
        <v>42619500</v>
      </c>
    </row>
    <row r="195" spans="1:8">
      <c r="A195" s="12"/>
      <c r="B195" s="16"/>
      <c r="C195" s="19" t="s">
        <v>148</v>
      </c>
      <c r="D195" s="19"/>
      <c r="E195" s="18">
        <v>500000</v>
      </c>
      <c r="F195" s="22">
        <f t="shared" si="6"/>
        <v>42119500</v>
      </c>
    </row>
    <row r="196" spans="1:8">
      <c r="A196" s="12"/>
      <c r="B196" s="16">
        <v>25</v>
      </c>
      <c r="C196" s="59" t="s">
        <v>265</v>
      </c>
      <c r="D196" s="19"/>
      <c r="E196" s="18"/>
      <c r="F196" s="22">
        <f t="shared" si="6"/>
        <v>42119500</v>
      </c>
    </row>
    <row r="197" spans="1:8">
      <c r="A197" s="12"/>
      <c r="B197" s="16"/>
      <c r="C197" s="59" t="s">
        <v>266</v>
      </c>
      <c r="D197" s="19"/>
      <c r="E197" s="18">
        <v>60000</v>
      </c>
      <c r="F197" s="22">
        <f t="shared" si="6"/>
        <v>42059500</v>
      </c>
      <c r="H197" s="25">
        <f>SUM(E197:E209)</f>
        <v>19200000</v>
      </c>
    </row>
    <row r="198" spans="1:8">
      <c r="A198" s="12"/>
      <c r="B198" s="16"/>
      <c r="C198" s="59" t="s">
        <v>267</v>
      </c>
      <c r="D198" s="19"/>
      <c r="E198" s="18">
        <v>20000</v>
      </c>
      <c r="F198" s="22">
        <f t="shared" si="6"/>
        <v>42039500</v>
      </c>
    </row>
    <row r="199" spans="1:8">
      <c r="A199" s="12"/>
      <c r="B199" s="16"/>
      <c r="C199" s="9" t="s">
        <v>268</v>
      </c>
      <c r="D199" s="19"/>
      <c r="E199" s="18">
        <v>150000</v>
      </c>
      <c r="F199" s="22">
        <f t="shared" si="6"/>
        <v>41889500</v>
      </c>
    </row>
    <row r="200" spans="1:8">
      <c r="A200" s="12"/>
      <c r="B200" s="16"/>
      <c r="C200" s="59" t="s">
        <v>269</v>
      </c>
      <c r="D200" s="19"/>
      <c r="E200" s="18">
        <v>15000</v>
      </c>
      <c r="F200" s="22">
        <f t="shared" si="6"/>
        <v>41874500</v>
      </c>
      <c r="H200" s="25">
        <f>SUM(H184:H197)</f>
        <v>21815000</v>
      </c>
    </row>
    <row r="201" spans="1:8">
      <c r="A201" s="12"/>
      <c r="B201" s="16"/>
      <c r="C201" s="19" t="s">
        <v>148</v>
      </c>
      <c r="D201" s="19"/>
      <c r="E201" s="18">
        <v>500000</v>
      </c>
      <c r="F201" s="22">
        <f t="shared" si="6"/>
        <v>41374500</v>
      </c>
    </row>
    <row r="202" spans="1:8">
      <c r="A202" s="12"/>
      <c r="B202" s="16"/>
      <c r="C202" s="59" t="s">
        <v>270</v>
      </c>
      <c r="D202" s="19"/>
      <c r="E202" s="18">
        <v>15000</v>
      </c>
      <c r="F202" s="22">
        <f t="shared" si="6"/>
        <v>41359500</v>
      </c>
    </row>
    <row r="203" spans="1:8">
      <c r="A203" s="12"/>
      <c r="B203" s="16"/>
      <c r="C203" s="19" t="s">
        <v>148</v>
      </c>
      <c r="D203" s="19"/>
      <c r="E203" s="18">
        <v>500000</v>
      </c>
      <c r="F203" s="22">
        <f t="shared" si="6"/>
        <v>40859500</v>
      </c>
    </row>
    <row r="204" spans="1:8">
      <c r="A204" s="12"/>
      <c r="B204" s="16"/>
      <c r="C204" s="59" t="s">
        <v>131</v>
      </c>
      <c r="D204" s="19"/>
      <c r="E204" s="18">
        <f>150*80000</f>
        <v>12000000</v>
      </c>
      <c r="F204" s="22">
        <f t="shared" si="6"/>
        <v>28859500</v>
      </c>
    </row>
    <row r="205" spans="1:8">
      <c r="A205" s="12"/>
      <c r="B205" s="16"/>
      <c r="C205" s="59" t="s">
        <v>132</v>
      </c>
      <c r="D205" s="19"/>
      <c r="E205" s="18">
        <f>65*68000</f>
        <v>4420000</v>
      </c>
      <c r="F205" s="22">
        <f t="shared" si="6"/>
        <v>24439500</v>
      </c>
    </row>
    <row r="206" spans="1:8">
      <c r="A206" s="12"/>
      <c r="B206" s="16"/>
      <c r="C206" s="59" t="s">
        <v>271</v>
      </c>
      <c r="D206" s="19"/>
      <c r="E206" s="18">
        <f>29*40000</f>
        <v>1160000</v>
      </c>
      <c r="F206" s="22">
        <f t="shared" si="6"/>
        <v>23279500</v>
      </c>
    </row>
    <row r="207" spans="1:8">
      <c r="A207" s="12"/>
      <c r="B207" s="16"/>
      <c r="C207" s="59" t="s">
        <v>272</v>
      </c>
      <c r="D207" s="19"/>
      <c r="E207" s="18">
        <f>50000</f>
        <v>50000</v>
      </c>
      <c r="F207" s="22">
        <f t="shared" si="6"/>
        <v>23229500</v>
      </c>
    </row>
    <row r="208" spans="1:8">
      <c r="A208" s="12"/>
      <c r="B208" s="16"/>
      <c r="C208" s="59" t="s">
        <v>273</v>
      </c>
      <c r="D208" s="19"/>
      <c r="E208" s="18">
        <f>7*30000</f>
        <v>210000</v>
      </c>
      <c r="F208" s="22">
        <f t="shared" si="6"/>
        <v>23019500</v>
      </c>
    </row>
    <row r="209" spans="1:8">
      <c r="A209" s="12"/>
      <c r="B209" s="16"/>
      <c r="C209" s="59" t="s">
        <v>274</v>
      </c>
      <c r="D209" s="19"/>
      <c r="E209" s="18">
        <v>100000</v>
      </c>
      <c r="F209" s="22">
        <f t="shared" si="6"/>
        <v>22919500</v>
      </c>
      <c r="H209" s="25">
        <f>SUM(H175:H181)</f>
        <v>9835000</v>
      </c>
    </row>
    <row r="210" spans="1:8">
      <c r="A210" s="12"/>
      <c r="B210" s="16">
        <v>28</v>
      </c>
      <c r="C210" s="58" t="s">
        <v>276</v>
      </c>
      <c r="D210" s="19"/>
      <c r="E210" s="18"/>
      <c r="F210" s="22">
        <f t="shared" si="6"/>
        <v>22919500</v>
      </c>
    </row>
    <row r="211" spans="1:8">
      <c r="A211" s="12"/>
      <c r="B211" s="16"/>
      <c r="C211" s="58" t="s">
        <v>66</v>
      </c>
      <c r="D211" s="19"/>
      <c r="E211" s="18">
        <f>5*150000</f>
        <v>750000</v>
      </c>
      <c r="F211" s="22">
        <f t="shared" si="6"/>
        <v>22169500</v>
      </c>
      <c r="H211" s="25">
        <f>SUM(E211:E226)</f>
        <v>12600000</v>
      </c>
    </row>
    <row r="212" spans="1:8">
      <c r="A212" s="12"/>
      <c r="B212" s="16"/>
      <c r="C212" s="58" t="s">
        <v>277</v>
      </c>
      <c r="D212" s="19"/>
      <c r="E212" s="18">
        <f>7*150000</f>
        <v>1050000</v>
      </c>
      <c r="F212" s="22">
        <f t="shared" si="6"/>
        <v>21119500</v>
      </c>
    </row>
    <row r="213" spans="1:8">
      <c r="A213" s="12"/>
      <c r="B213" s="16"/>
      <c r="C213" s="58" t="s">
        <v>73</v>
      </c>
      <c r="D213" s="19"/>
      <c r="E213" s="18">
        <f>5*150000</f>
        <v>750000</v>
      </c>
      <c r="F213" s="22">
        <f t="shared" si="6"/>
        <v>20369500</v>
      </c>
    </row>
    <row r="214" spans="1:8">
      <c r="A214" s="12"/>
      <c r="B214" s="16"/>
      <c r="C214" s="58" t="s">
        <v>68</v>
      </c>
      <c r="D214" s="19"/>
      <c r="E214" s="18">
        <f>5*150000</f>
        <v>750000</v>
      </c>
      <c r="F214" s="22">
        <f t="shared" si="6"/>
        <v>19619500</v>
      </c>
    </row>
    <row r="215" spans="1:8">
      <c r="A215" s="12"/>
      <c r="B215" s="16"/>
      <c r="C215" s="58" t="s">
        <v>278</v>
      </c>
      <c r="D215" s="19"/>
      <c r="E215" s="18">
        <f>0*150000</f>
        <v>0</v>
      </c>
      <c r="F215" s="22">
        <f t="shared" si="6"/>
        <v>19619500</v>
      </c>
    </row>
    <row r="216" spans="1:8">
      <c r="A216" s="12"/>
      <c r="B216" s="16"/>
      <c r="C216" s="58" t="s">
        <v>279</v>
      </c>
      <c r="D216" s="19"/>
      <c r="E216" s="18">
        <f>7*150000</f>
        <v>1050000</v>
      </c>
      <c r="F216" s="22">
        <f t="shared" si="6"/>
        <v>18569500</v>
      </c>
    </row>
    <row r="217" spans="1:8">
      <c r="A217" s="12"/>
      <c r="B217" s="16"/>
      <c r="C217" s="58" t="s">
        <v>70</v>
      </c>
      <c r="D217" s="19"/>
      <c r="E217" s="18">
        <f>5*150000</f>
        <v>750000</v>
      </c>
      <c r="F217" s="22">
        <f t="shared" si="6"/>
        <v>17819500</v>
      </c>
    </row>
    <row r="218" spans="1:8">
      <c r="A218" s="12"/>
      <c r="B218" s="16"/>
      <c r="C218" s="58" t="s">
        <v>176</v>
      </c>
      <c r="D218" s="19"/>
      <c r="E218" s="18">
        <f t="shared" ref="E218:E225" si="7">6*150000</f>
        <v>900000</v>
      </c>
      <c r="F218" s="22">
        <f t="shared" si="6"/>
        <v>16919500</v>
      </c>
    </row>
    <row r="219" spans="1:8">
      <c r="A219" s="12"/>
      <c r="B219" s="16"/>
      <c r="C219" s="58" t="s">
        <v>280</v>
      </c>
      <c r="D219" s="19"/>
      <c r="E219" s="18">
        <f>7*150000</f>
        <v>1050000</v>
      </c>
      <c r="F219" s="22">
        <f t="shared" si="6"/>
        <v>15869500</v>
      </c>
    </row>
    <row r="220" spans="1:8">
      <c r="A220" s="12"/>
      <c r="B220" s="16"/>
      <c r="C220" s="58" t="s">
        <v>281</v>
      </c>
      <c r="D220" s="19"/>
      <c r="E220" s="18">
        <f>4*150000</f>
        <v>600000</v>
      </c>
      <c r="F220" s="22">
        <f t="shared" si="6"/>
        <v>15269500</v>
      </c>
    </row>
    <row r="221" spans="1:8">
      <c r="A221" s="12"/>
      <c r="B221" s="16"/>
      <c r="C221" s="57" t="s">
        <v>179</v>
      </c>
      <c r="D221" s="19"/>
      <c r="E221" s="18">
        <f>6*150000</f>
        <v>900000</v>
      </c>
      <c r="F221" s="22">
        <f t="shared" si="6"/>
        <v>14369500</v>
      </c>
    </row>
    <row r="222" spans="1:8">
      <c r="A222" s="12"/>
      <c r="B222" s="16"/>
      <c r="C222" s="57" t="s">
        <v>244</v>
      </c>
      <c r="D222" s="19"/>
      <c r="E222" s="18">
        <f t="shared" si="7"/>
        <v>900000</v>
      </c>
      <c r="F222" s="22">
        <f t="shared" si="6"/>
        <v>13469500</v>
      </c>
    </row>
    <row r="223" spans="1:8">
      <c r="A223" s="12"/>
      <c r="B223" s="16"/>
      <c r="C223" s="58" t="s">
        <v>221</v>
      </c>
      <c r="D223" s="19"/>
      <c r="E223" s="18">
        <f>4*150000</f>
        <v>600000</v>
      </c>
      <c r="F223" s="22">
        <f t="shared" si="6"/>
        <v>12869500</v>
      </c>
    </row>
    <row r="224" spans="1:8">
      <c r="A224" s="12"/>
      <c r="B224" s="16"/>
      <c r="C224" s="53" t="s">
        <v>182</v>
      </c>
      <c r="D224" s="19"/>
      <c r="E224" s="18">
        <f t="shared" si="7"/>
        <v>900000</v>
      </c>
      <c r="F224" s="22">
        <f t="shared" si="6"/>
        <v>11969500</v>
      </c>
    </row>
    <row r="225" spans="1:10">
      <c r="A225" s="12"/>
      <c r="B225" s="16"/>
      <c r="C225" s="57" t="s">
        <v>183</v>
      </c>
      <c r="D225" s="19"/>
      <c r="E225" s="18">
        <f t="shared" si="7"/>
        <v>900000</v>
      </c>
      <c r="F225" s="22">
        <f t="shared" si="6"/>
        <v>11069500</v>
      </c>
    </row>
    <row r="226" spans="1:10">
      <c r="A226" s="12"/>
      <c r="B226" s="16"/>
      <c r="C226" s="58" t="s">
        <v>282</v>
      </c>
      <c r="D226" s="19"/>
      <c r="E226" s="18">
        <f>5*150000</f>
        <v>750000</v>
      </c>
      <c r="F226" s="22">
        <f t="shared" si="6"/>
        <v>10319500</v>
      </c>
    </row>
    <row r="227" spans="1:10">
      <c r="A227" s="12"/>
      <c r="B227" s="16">
        <v>28</v>
      </c>
      <c r="C227" s="59" t="s">
        <v>252</v>
      </c>
      <c r="D227" s="19"/>
      <c r="E227" s="18">
        <v>100000</v>
      </c>
      <c r="F227" s="22">
        <f t="shared" si="6"/>
        <v>10219500</v>
      </c>
      <c r="H227" s="25">
        <f>H211+E227</f>
        <v>12700000</v>
      </c>
    </row>
    <row r="228" spans="1:10">
      <c r="A228" s="12"/>
      <c r="B228" s="16">
        <v>30</v>
      </c>
      <c r="C228" s="61" t="s">
        <v>283</v>
      </c>
      <c r="D228" s="19"/>
      <c r="E228" s="18"/>
      <c r="F228" s="22">
        <f t="shared" si="6"/>
        <v>10219500</v>
      </c>
      <c r="H228" s="25"/>
      <c r="J228" s="25">
        <f>E228</f>
        <v>0</v>
      </c>
    </row>
    <row r="229" spans="1:10">
      <c r="A229" s="12"/>
      <c r="B229" s="16"/>
      <c r="C229" s="61" t="s">
        <v>284</v>
      </c>
      <c r="D229" s="19"/>
      <c r="E229" s="18">
        <f>320000*15</f>
        <v>4800000</v>
      </c>
      <c r="F229" s="22">
        <f t="shared" si="6"/>
        <v>5419500</v>
      </c>
      <c r="H229" s="25"/>
      <c r="J229" s="25"/>
    </row>
    <row r="230" spans="1:10">
      <c r="A230" s="12"/>
      <c r="B230" s="16"/>
      <c r="C230" s="61" t="s">
        <v>285</v>
      </c>
      <c r="D230" s="19"/>
      <c r="E230" s="18">
        <f>20*48000</f>
        <v>960000</v>
      </c>
      <c r="F230" s="22">
        <f t="shared" si="6"/>
        <v>4459500</v>
      </c>
      <c r="H230" s="25"/>
      <c r="J230" s="25"/>
    </row>
    <row r="231" spans="1:10">
      <c r="A231" s="12"/>
      <c r="B231" s="16"/>
      <c r="C231" s="61" t="s">
        <v>286</v>
      </c>
      <c r="D231" s="19"/>
      <c r="E231" s="18">
        <f>15*6000</f>
        <v>90000</v>
      </c>
      <c r="F231" s="22">
        <f t="shared" si="6"/>
        <v>4369500</v>
      </c>
      <c r="H231" s="25"/>
      <c r="J231" s="25"/>
    </row>
    <row r="232" spans="1:10">
      <c r="A232" s="12"/>
      <c r="B232" s="16"/>
      <c r="C232" s="61" t="s">
        <v>287</v>
      </c>
      <c r="D232" s="19"/>
      <c r="E232" s="18">
        <f>15*6000</f>
        <v>90000</v>
      </c>
      <c r="F232" s="22">
        <f t="shared" si="6"/>
        <v>4279500</v>
      </c>
      <c r="H232" s="25"/>
      <c r="J232" s="25"/>
    </row>
    <row r="233" spans="1:10">
      <c r="A233" s="12"/>
      <c r="B233" s="16"/>
      <c r="C233" s="61" t="s">
        <v>288</v>
      </c>
      <c r="D233" s="19"/>
      <c r="E233" s="18">
        <v>75000</v>
      </c>
      <c r="F233" s="22">
        <f t="shared" si="6"/>
        <v>4204500</v>
      </c>
      <c r="H233" s="25"/>
      <c r="J233" s="25"/>
    </row>
    <row r="234" spans="1:10">
      <c r="A234" s="12"/>
      <c r="B234" s="16"/>
      <c r="C234" s="61" t="s">
        <v>289</v>
      </c>
      <c r="D234" s="19"/>
      <c r="E234" s="18">
        <v>2800000</v>
      </c>
      <c r="F234" s="22">
        <f t="shared" si="6"/>
        <v>1404500</v>
      </c>
      <c r="H234" s="25"/>
      <c r="J234" s="25"/>
    </row>
    <row r="235" spans="1:10">
      <c r="A235" s="12"/>
      <c r="B235" s="16"/>
      <c r="C235" s="61" t="s">
        <v>290</v>
      </c>
      <c r="D235" s="19"/>
      <c r="E235" s="18">
        <v>15000</v>
      </c>
      <c r="F235" s="22">
        <f t="shared" si="6"/>
        <v>1389500</v>
      </c>
      <c r="H235" s="25"/>
      <c r="J235" s="25"/>
    </row>
    <row r="236" spans="1:10">
      <c r="A236" s="12"/>
      <c r="B236" s="16"/>
      <c r="C236" s="61" t="s">
        <v>291</v>
      </c>
      <c r="D236" s="19"/>
      <c r="E236" s="18">
        <v>20000</v>
      </c>
      <c r="F236" s="22">
        <f t="shared" si="6"/>
        <v>1369500</v>
      </c>
      <c r="H236" s="25"/>
      <c r="J236" s="25"/>
    </row>
    <row r="237" spans="1:10">
      <c r="A237" s="12"/>
      <c r="B237" s="16"/>
      <c r="C237" s="61" t="s">
        <v>292</v>
      </c>
      <c r="D237" s="19"/>
      <c r="E237" s="18">
        <f>10*5000</f>
        <v>50000</v>
      </c>
      <c r="F237" s="22">
        <f t="shared" si="6"/>
        <v>1319500</v>
      </c>
      <c r="H237" s="25">
        <f>SUM(E229:E237)</f>
        <v>8900000</v>
      </c>
      <c r="J237" s="25"/>
    </row>
    <row r="238" spans="1:10">
      <c r="A238" s="12"/>
      <c r="B238" s="16"/>
      <c r="C238" s="61" t="s">
        <v>293</v>
      </c>
      <c r="D238" s="19"/>
      <c r="E238" s="18">
        <v>250000</v>
      </c>
      <c r="F238" s="22">
        <f t="shared" si="6"/>
        <v>1069500</v>
      </c>
      <c r="H238" s="25"/>
      <c r="J238" s="25"/>
    </row>
    <row r="239" spans="1:10">
      <c r="A239" s="12"/>
      <c r="B239" s="16"/>
      <c r="C239" s="61" t="s">
        <v>294</v>
      </c>
      <c r="D239" s="19"/>
      <c r="E239" s="18">
        <v>200000</v>
      </c>
      <c r="F239" s="22">
        <f t="shared" ref="F239:F242" si="8">F238+D239-E239</f>
        <v>869500</v>
      </c>
      <c r="H239" s="25"/>
      <c r="J239" s="25"/>
    </row>
    <row r="240" spans="1:10">
      <c r="A240" s="12"/>
      <c r="B240" s="16"/>
      <c r="C240" s="61" t="s">
        <v>295</v>
      </c>
      <c r="D240" s="19"/>
      <c r="E240" s="18">
        <v>35000</v>
      </c>
      <c r="F240" s="22">
        <f t="shared" si="8"/>
        <v>834500</v>
      </c>
      <c r="H240" s="25"/>
      <c r="J240" s="25"/>
    </row>
    <row r="241" spans="1:10">
      <c r="A241" s="12"/>
      <c r="B241" s="16"/>
      <c r="C241" s="61" t="s">
        <v>296</v>
      </c>
      <c r="D241" s="19"/>
      <c r="E241" s="18">
        <v>13000</v>
      </c>
      <c r="F241" s="22">
        <f t="shared" si="8"/>
        <v>821500</v>
      </c>
      <c r="H241" s="25"/>
      <c r="J241" s="25"/>
    </row>
    <row r="242" spans="1:10">
      <c r="A242" s="12"/>
      <c r="B242" s="16"/>
      <c r="C242" s="61" t="s">
        <v>297</v>
      </c>
      <c r="D242" s="19"/>
      <c r="E242" s="18">
        <v>300000</v>
      </c>
      <c r="F242" s="22">
        <f t="shared" si="8"/>
        <v>521500</v>
      </c>
      <c r="H242" s="25">
        <f>SUM(E238:E242)</f>
        <v>798000</v>
      </c>
      <c r="J242" s="25"/>
    </row>
    <row r="243" spans="1:10">
      <c r="A243" s="20"/>
      <c r="B243" s="16"/>
      <c r="C243" s="21" t="s">
        <v>88</v>
      </c>
      <c r="D243" s="22">
        <f>SUM(D173:D242)</f>
        <v>340000000</v>
      </c>
      <c r="E243" s="22">
        <f>SUM(E173:E242)</f>
        <v>339478500</v>
      </c>
      <c r="F243" s="24">
        <f>D243-E243</f>
        <v>521500</v>
      </c>
      <c r="H243" s="25">
        <f>SUM(H237:H242)</f>
        <v>9698000</v>
      </c>
      <c r="I243" s="60">
        <v>10000000</v>
      </c>
    </row>
    <row r="244" spans="1:10">
      <c r="I244" s="62">
        <f>I243-H243</f>
        <v>302000</v>
      </c>
    </row>
  </sheetData>
  <mergeCells count="5">
    <mergeCell ref="A1:B1"/>
    <mergeCell ref="A49:B49"/>
    <mergeCell ref="A82:B82"/>
    <mergeCell ref="A136:B136"/>
    <mergeCell ref="A172:B172"/>
  </mergeCells>
  <pageMargins left="0.75" right="0.75" top="1" bottom="1" header="0.5" footer="0.5"/>
  <ignoredErrors>
    <ignoredError sqref="E76 E57 E119 E124 E154 E157 E162 E223 E21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3C59-BB37-435D-A3BA-411F6C25D333}">
  <dimension ref="A1:L306"/>
  <sheetViews>
    <sheetView topLeftCell="A14" zoomScale="104" zoomScaleNormal="100" workbookViewId="0">
      <selection activeCell="F240" sqref="F240"/>
    </sheetView>
  </sheetViews>
  <sheetFormatPr defaultColWidth="11.7109375" defaultRowHeight="15"/>
  <cols>
    <col min="1" max="1" width="13.28515625" customWidth="1"/>
    <col min="2" max="2" width="4" customWidth="1"/>
    <col min="3" max="3" width="75.28515625" customWidth="1"/>
    <col min="4" max="6" width="20" customWidth="1"/>
    <col min="7" max="7" width="17.140625" customWidth="1"/>
    <col min="8" max="8" width="17.42578125" style="89" customWidth="1"/>
    <col min="9" max="9" width="16.7109375" customWidth="1"/>
    <col min="10" max="10" width="15" customWidth="1"/>
  </cols>
  <sheetData>
    <row r="1" spans="1:8" s="1" customFormat="1" ht="26.1" customHeight="1">
      <c r="A1" s="94" t="s">
        <v>0</v>
      </c>
      <c r="B1" s="94"/>
      <c r="C1" s="6" t="s">
        <v>1</v>
      </c>
      <c r="D1" s="7" t="s">
        <v>2</v>
      </c>
      <c r="E1" s="7" t="s">
        <v>3</v>
      </c>
      <c r="F1" s="7" t="s">
        <v>4</v>
      </c>
      <c r="H1" s="90"/>
    </row>
    <row r="2" spans="1:8" s="1" customFormat="1" ht="15.75">
      <c r="A2" s="8">
        <v>2025</v>
      </c>
      <c r="B2" s="9"/>
      <c r="C2" s="10" t="s">
        <v>5</v>
      </c>
      <c r="D2" s="11"/>
      <c r="E2" s="14"/>
      <c r="F2" s="11"/>
      <c r="H2" s="90"/>
    </row>
    <row r="3" spans="1:8" s="2" customFormat="1" ht="15.75">
      <c r="A3" s="12" t="s">
        <v>298</v>
      </c>
      <c r="B3" s="9">
        <v>7</v>
      </c>
      <c r="C3" s="13" t="s">
        <v>362</v>
      </c>
      <c r="D3" s="14">
        <v>100000000</v>
      </c>
      <c r="E3" s="14"/>
      <c r="F3" s="11"/>
      <c r="H3" s="60"/>
    </row>
    <row r="4" spans="1:8" s="2" customFormat="1" ht="15.75">
      <c r="A4" s="12"/>
      <c r="B4" s="9">
        <v>25</v>
      </c>
      <c r="C4" s="13" t="s">
        <v>362</v>
      </c>
      <c r="D4" s="14">
        <v>50000000</v>
      </c>
      <c r="E4" s="14"/>
      <c r="F4" s="11"/>
      <c r="H4" s="60"/>
    </row>
    <row r="5" spans="1:8" s="2" customFormat="1" ht="15.75">
      <c r="A5" s="12"/>
      <c r="B5" s="9"/>
      <c r="C5" s="10" t="s">
        <v>9</v>
      </c>
      <c r="D5" s="14"/>
      <c r="E5" s="14"/>
      <c r="F5" s="22">
        <f>SUM(D3:D4)</f>
        <v>150000000</v>
      </c>
      <c r="H5" s="60"/>
    </row>
    <row r="6" spans="1:8" s="2" customFormat="1" ht="15.75">
      <c r="A6" s="12"/>
      <c r="B6" s="9"/>
      <c r="C6" s="15"/>
      <c r="D6" s="14"/>
      <c r="E6" s="14"/>
      <c r="F6" s="22"/>
      <c r="H6" s="60"/>
    </row>
    <row r="7" spans="1:8" s="2" customFormat="1" ht="15.75">
      <c r="A7" s="12"/>
      <c r="B7" s="9"/>
      <c r="C7" s="10" t="s">
        <v>10</v>
      </c>
      <c r="D7" s="14"/>
      <c r="E7" s="14"/>
      <c r="F7" s="22"/>
      <c r="H7" s="60"/>
    </row>
    <row r="8" spans="1:8" s="2" customFormat="1" ht="15.75">
      <c r="A8" s="12" t="s">
        <v>298</v>
      </c>
      <c r="B8" s="16"/>
      <c r="C8" s="41" t="s">
        <v>87</v>
      </c>
      <c r="D8" s="22">
        <f>'SEP-1'!D243</f>
        <v>340000000</v>
      </c>
      <c r="E8" s="22">
        <f>'SEP-1'!E243</f>
        <v>339478500</v>
      </c>
      <c r="F8" s="22">
        <f>'SEP-1'!F243</f>
        <v>521500</v>
      </c>
      <c r="H8" s="60"/>
    </row>
    <row r="9" spans="1:8" s="2" customFormat="1" ht="15.75">
      <c r="A9" s="12"/>
      <c r="B9" s="16">
        <v>1</v>
      </c>
      <c r="C9" s="61" t="s">
        <v>299</v>
      </c>
      <c r="D9" s="19"/>
      <c r="E9" s="18"/>
      <c r="F9" s="22">
        <f>F5+F8+D9-E9</f>
        <v>150521500</v>
      </c>
      <c r="H9" s="60"/>
    </row>
    <row r="10" spans="1:8" s="2" customFormat="1" ht="15.75">
      <c r="A10" s="12"/>
      <c r="B10" s="16"/>
      <c r="C10" s="63" t="s">
        <v>96</v>
      </c>
      <c r="D10" s="19"/>
      <c r="E10" s="18">
        <f>100*23000</f>
        <v>2300000</v>
      </c>
      <c r="F10" s="22">
        <f t="shared" ref="F10:F13" si="0">F9+D10-E10</f>
        <v>148221500</v>
      </c>
      <c r="H10" s="60"/>
    </row>
    <row r="11" spans="1:8" s="2" customFormat="1" ht="15.75">
      <c r="A11" s="12"/>
      <c r="B11" s="16">
        <v>2</v>
      </c>
      <c r="C11" s="61" t="s">
        <v>300</v>
      </c>
      <c r="D11" s="19"/>
      <c r="E11" s="18"/>
      <c r="F11" s="22">
        <f t="shared" si="0"/>
        <v>148221500</v>
      </c>
      <c r="H11" s="60"/>
    </row>
    <row r="12" spans="1:8" s="2" customFormat="1" ht="15.75">
      <c r="A12" s="12"/>
      <c r="B12" s="16"/>
      <c r="C12" s="63" t="s">
        <v>301</v>
      </c>
      <c r="D12" s="19"/>
      <c r="E12" s="18">
        <f>150*23000</f>
        <v>3450000</v>
      </c>
      <c r="F12" s="22">
        <f t="shared" si="0"/>
        <v>144771500</v>
      </c>
      <c r="H12" s="60"/>
    </row>
    <row r="13" spans="1:8" s="2" customFormat="1" ht="15.75">
      <c r="A13" s="12"/>
      <c r="B13" s="16">
        <v>3</v>
      </c>
      <c r="C13" s="61" t="s">
        <v>303</v>
      </c>
      <c r="D13" s="19"/>
      <c r="E13" s="18"/>
      <c r="F13" s="22">
        <f t="shared" si="0"/>
        <v>144771500</v>
      </c>
      <c r="H13" s="60"/>
    </row>
    <row r="14" spans="1:8" s="2" customFormat="1" ht="15.75">
      <c r="A14" s="12"/>
      <c r="B14" s="16"/>
      <c r="C14" s="63" t="s">
        <v>302</v>
      </c>
      <c r="D14" s="19"/>
      <c r="E14" s="18">
        <f>7*320000</f>
        <v>2240000</v>
      </c>
      <c r="F14" s="22">
        <f>F13+D14-E14</f>
        <v>142531500</v>
      </c>
      <c r="H14" s="60"/>
    </row>
    <row r="15" spans="1:8" s="2" customFormat="1" ht="15.75">
      <c r="A15" s="12"/>
      <c r="B15" s="16">
        <v>4</v>
      </c>
      <c r="C15" s="61" t="s">
        <v>304</v>
      </c>
      <c r="D15" s="19"/>
      <c r="E15" s="18"/>
      <c r="F15" s="22">
        <f>F14+D15-E15</f>
        <v>142531500</v>
      </c>
      <c r="H15" s="60"/>
    </row>
    <row r="16" spans="1:8" s="2" customFormat="1" ht="15.75">
      <c r="A16" s="12"/>
      <c r="B16" s="16"/>
      <c r="C16" s="63" t="s">
        <v>305</v>
      </c>
      <c r="D16" s="19"/>
      <c r="E16" s="18">
        <v>1800000</v>
      </c>
      <c r="F16" s="22">
        <f t="shared" ref="F16:F40" si="1">F15+D16-E16</f>
        <v>140731500</v>
      </c>
      <c r="H16" s="60">
        <f>SUM(E10:E16)</f>
        <v>9790000</v>
      </c>
    </row>
    <row r="17" spans="1:8" s="2" customFormat="1" ht="15.75">
      <c r="A17" s="12"/>
      <c r="B17" s="16">
        <v>4</v>
      </c>
      <c r="C17" s="63" t="s">
        <v>319</v>
      </c>
      <c r="D17" s="19"/>
      <c r="E17" s="18"/>
      <c r="F17" s="22">
        <f t="shared" si="1"/>
        <v>140731500</v>
      </c>
      <c r="H17" s="60"/>
    </row>
    <row r="18" spans="1:8" s="2" customFormat="1" ht="15.75">
      <c r="A18" s="12"/>
      <c r="B18" s="16"/>
      <c r="C18" s="63" t="s">
        <v>306</v>
      </c>
      <c r="D18" s="19"/>
      <c r="E18" s="18">
        <f>7*150000</f>
        <v>1050000</v>
      </c>
      <c r="F18" s="22">
        <f t="shared" si="1"/>
        <v>139681500</v>
      </c>
      <c r="H18" s="60"/>
    </row>
    <row r="19" spans="1:8" s="2" customFormat="1" ht="15.75">
      <c r="A19" s="12"/>
      <c r="B19" s="16"/>
      <c r="C19" s="58" t="s">
        <v>277</v>
      </c>
      <c r="D19" s="19"/>
      <c r="E19" s="18">
        <f>7*150000</f>
        <v>1050000</v>
      </c>
      <c r="F19" s="22">
        <f t="shared" si="1"/>
        <v>138631500</v>
      </c>
      <c r="H19" s="60"/>
    </row>
    <row r="20" spans="1:8" s="2" customFormat="1" ht="15.75">
      <c r="A20" s="12"/>
      <c r="B20" s="16"/>
      <c r="C20" s="63" t="s">
        <v>307</v>
      </c>
      <c r="D20" s="19"/>
      <c r="E20" s="18">
        <f t="shared" ref="E20:E21" si="2">7*150000</f>
        <v>1050000</v>
      </c>
      <c r="F20" s="22">
        <f t="shared" si="1"/>
        <v>137581500</v>
      </c>
      <c r="H20" s="60"/>
    </row>
    <row r="21" spans="1:8" s="2" customFormat="1" ht="15.75">
      <c r="A21" s="12"/>
      <c r="B21" s="16"/>
      <c r="C21" s="63" t="s">
        <v>222</v>
      </c>
      <c r="D21" s="19"/>
      <c r="E21" s="18">
        <f t="shared" si="2"/>
        <v>1050000</v>
      </c>
      <c r="F21" s="22">
        <f t="shared" si="1"/>
        <v>136531500</v>
      </c>
      <c r="H21" s="60"/>
    </row>
    <row r="22" spans="1:8" s="2" customFormat="1" ht="15.75">
      <c r="A22" s="12"/>
      <c r="B22" s="16"/>
      <c r="C22" s="63" t="s">
        <v>223</v>
      </c>
      <c r="D22" s="19"/>
      <c r="E22" s="18">
        <f>4*150000</f>
        <v>600000</v>
      </c>
      <c r="F22" s="22">
        <f t="shared" si="1"/>
        <v>135931500</v>
      </c>
      <c r="H22" s="60"/>
    </row>
    <row r="23" spans="1:8" s="2" customFormat="1" ht="15.75">
      <c r="A23" s="12"/>
      <c r="B23" s="16"/>
      <c r="C23" s="58" t="s">
        <v>279</v>
      </c>
      <c r="D23" s="19"/>
      <c r="E23" s="18">
        <f>7*150000</f>
        <v>1050000</v>
      </c>
      <c r="F23" s="22">
        <f t="shared" si="1"/>
        <v>134881500</v>
      </c>
      <c r="H23" s="60"/>
    </row>
    <row r="24" spans="1:8" s="2" customFormat="1" ht="15.75">
      <c r="A24" s="12"/>
      <c r="B24" s="16"/>
      <c r="C24" s="63" t="s">
        <v>224</v>
      </c>
      <c r="D24" s="19"/>
      <c r="E24" s="18">
        <f t="shared" ref="E24:E29" si="3">7*150000</f>
        <v>1050000</v>
      </c>
      <c r="F24" s="22">
        <f t="shared" si="1"/>
        <v>133831500</v>
      </c>
      <c r="H24" s="60"/>
    </row>
    <row r="25" spans="1:8" s="2" customFormat="1" ht="15.75">
      <c r="A25" s="12"/>
      <c r="B25" s="16"/>
      <c r="C25" s="63" t="s">
        <v>308</v>
      </c>
      <c r="D25" s="19"/>
      <c r="E25" s="18">
        <f t="shared" si="3"/>
        <v>1050000</v>
      </c>
      <c r="F25" s="22">
        <f t="shared" si="1"/>
        <v>132781500</v>
      </c>
      <c r="H25" s="60"/>
    </row>
    <row r="26" spans="1:8" s="2" customFormat="1" ht="15.75">
      <c r="A26" s="12"/>
      <c r="B26" s="16"/>
      <c r="C26" s="58" t="s">
        <v>280</v>
      </c>
      <c r="D26" s="19"/>
      <c r="E26" s="18">
        <f t="shared" si="3"/>
        <v>1050000</v>
      </c>
      <c r="F26" s="22">
        <f t="shared" si="1"/>
        <v>131731500</v>
      </c>
      <c r="H26" s="60"/>
    </row>
    <row r="27" spans="1:8" s="2" customFormat="1" ht="15.75">
      <c r="A27" s="12"/>
      <c r="B27" s="16"/>
      <c r="C27" s="63" t="s">
        <v>309</v>
      </c>
      <c r="D27" s="19"/>
      <c r="E27" s="18">
        <f t="shared" si="3"/>
        <v>1050000</v>
      </c>
      <c r="F27" s="22">
        <f t="shared" si="1"/>
        <v>130681500</v>
      </c>
      <c r="H27" s="60"/>
    </row>
    <row r="28" spans="1:8" s="2" customFormat="1" ht="15.75">
      <c r="A28" s="12"/>
      <c r="B28" s="16"/>
      <c r="C28" s="63" t="s">
        <v>111</v>
      </c>
      <c r="D28" s="19"/>
      <c r="E28" s="18">
        <f t="shared" si="3"/>
        <v>1050000</v>
      </c>
      <c r="F28" s="22">
        <f t="shared" si="1"/>
        <v>129631500</v>
      </c>
      <c r="H28" s="60"/>
    </row>
    <row r="29" spans="1:8" s="2" customFormat="1" ht="15.75">
      <c r="A29" s="12"/>
      <c r="B29" s="16"/>
      <c r="C29" s="63" t="s">
        <v>310</v>
      </c>
      <c r="D29" s="19"/>
      <c r="E29" s="18">
        <f t="shared" si="3"/>
        <v>1050000</v>
      </c>
      <c r="F29" s="22">
        <f t="shared" si="1"/>
        <v>128581500</v>
      </c>
      <c r="H29" s="60"/>
    </row>
    <row r="30" spans="1:8" s="2" customFormat="1" ht="15.75">
      <c r="A30" s="12"/>
      <c r="B30" s="16"/>
      <c r="C30" s="63" t="s">
        <v>170</v>
      </c>
      <c r="D30" s="19"/>
      <c r="E30" s="18">
        <f>6*150000</f>
        <v>900000</v>
      </c>
      <c r="F30" s="22">
        <f t="shared" si="1"/>
        <v>127681500</v>
      </c>
      <c r="H30" s="60"/>
    </row>
    <row r="31" spans="1:8" s="2" customFormat="1" ht="15.75">
      <c r="A31" s="12"/>
      <c r="B31" s="16"/>
      <c r="C31" s="63" t="s">
        <v>311</v>
      </c>
      <c r="D31" s="19"/>
      <c r="E31" s="18">
        <f>7*150000</f>
        <v>1050000</v>
      </c>
      <c r="F31" s="22">
        <f t="shared" si="1"/>
        <v>126631500</v>
      </c>
      <c r="H31" s="60"/>
    </row>
    <row r="32" spans="1:8" s="2" customFormat="1" ht="15.75">
      <c r="A32" s="12"/>
      <c r="B32" s="16"/>
      <c r="C32" s="63" t="s">
        <v>227</v>
      </c>
      <c r="D32" s="19"/>
      <c r="E32" s="18">
        <f t="shared" ref="E32:E33" si="4">7*150000</f>
        <v>1050000</v>
      </c>
      <c r="F32" s="22">
        <f t="shared" si="1"/>
        <v>125581500</v>
      </c>
      <c r="H32" s="60"/>
    </row>
    <row r="33" spans="1:10" s="2" customFormat="1" ht="15.75">
      <c r="A33" s="12"/>
      <c r="B33" s="16"/>
      <c r="C33" s="63" t="s">
        <v>312</v>
      </c>
      <c r="D33" s="19"/>
      <c r="E33" s="18">
        <f t="shared" si="4"/>
        <v>1050000</v>
      </c>
      <c r="F33" s="22">
        <f t="shared" si="1"/>
        <v>124531500</v>
      </c>
      <c r="H33" s="60">
        <f>SUM(E18:E33)</f>
        <v>16200000</v>
      </c>
    </row>
    <row r="34" spans="1:10" s="2" customFormat="1" ht="15.75">
      <c r="A34" s="12"/>
      <c r="B34" s="16">
        <v>4</v>
      </c>
      <c r="C34" s="61" t="s">
        <v>313</v>
      </c>
      <c r="D34" s="19"/>
      <c r="E34" s="18">
        <v>210000</v>
      </c>
      <c r="F34" s="22">
        <f t="shared" si="1"/>
        <v>124321500</v>
      </c>
      <c r="H34" s="60"/>
    </row>
    <row r="35" spans="1:10" s="2" customFormat="1" ht="15.75">
      <c r="A35" s="12"/>
      <c r="B35" s="16">
        <v>4</v>
      </c>
      <c r="C35" s="19" t="s">
        <v>314</v>
      </c>
      <c r="D35" s="19"/>
      <c r="E35" s="18">
        <f>2000000+1000000</f>
        <v>3000000</v>
      </c>
      <c r="F35" s="22">
        <f t="shared" si="1"/>
        <v>121321500</v>
      </c>
      <c r="H35" s="60"/>
    </row>
    <row r="36" spans="1:10" s="2" customFormat="1" ht="15.75">
      <c r="A36" s="12"/>
      <c r="B36" s="16">
        <v>4</v>
      </c>
      <c r="C36" s="61" t="s">
        <v>315</v>
      </c>
      <c r="D36" s="19"/>
      <c r="E36" s="18">
        <f>100000+70000+85000+100000</f>
        <v>355000</v>
      </c>
      <c r="F36" s="22">
        <f t="shared" si="1"/>
        <v>120966500</v>
      </c>
      <c r="H36" s="60"/>
    </row>
    <row r="37" spans="1:10" s="2" customFormat="1" ht="15.75">
      <c r="A37" s="12"/>
      <c r="B37" s="16">
        <v>4</v>
      </c>
      <c r="C37" s="61" t="s">
        <v>316</v>
      </c>
      <c r="D37" s="19"/>
      <c r="E37" s="18">
        <v>350000</v>
      </c>
      <c r="F37" s="22">
        <f t="shared" si="1"/>
        <v>120616500</v>
      </c>
      <c r="H37" s="60"/>
    </row>
    <row r="38" spans="1:10" s="2" customFormat="1" ht="15.75">
      <c r="A38" s="12"/>
      <c r="B38" s="16">
        <v>4</v>
      </c>
      <c r="C38" s="61" t="s">
        <v>317</v>
      </c>
      <c r="D38" s="19"/>
      <c r="E38" s="18">
        <v>250000</v>
      </c>
      <c r="F38" s="22">
        <f t="shared" si="1"/>
        <v>120366500</v>
      </c>
      <c r="H38" s="60"/>
    </row>
    <row r="39" spans="1:10" s="2" customFormat="1" ht="15.75">
      <c r="A39" s="12"/>
      <c r="B39" s="16">
        <v>4</v>
      </c>
      <c r="C39" s="61" t="s">
        <v>318</v>
      </c>
      <c r="D39" s="19"/>
      <c r="E39" s="18">
        <f>337*5000</f>
        <v>1685000</v>
      </c>
      <c r="F39" s="22">
        <f t="shared" si="1"/>
        <v>118681500</v>
      </c>
      <c r="H39" s="60">
        <f>SUM(E34:E39)</f>
        <v>5850000</v>
      </c>
      <c r="I39" s="25">
        <f>SUM(H16:H39)</f>
        <v>31840000</v>
      </c>
      <c r="J39" s="60">
        <v>302000</v>
      </c>
    </row>
    <row r="40" spans="1:10" s="2" customFormat="1" ht="30">
      <c r="A40" s="12"/>
      <c r="B40" s="16">
        <v>4</v>
      </c>
      <c r="C40" s="64" t="s">
        <v>320</v>
      </c>
      <c r="D40" s="19"/>
      <c r="E40" s="18">
        <v>8500000</v>
      </c>
      <c r="F40" s="22">
        <f t="shared" si="1"/>
        <v>110181500</v>
      </c>
      <c r="H40" s="60"/>
      <c r="I40" s="25">
        <f>I39-J39</f>
        <v>31538000</v>
      </c>
      <c r="J40" s="60"/>
    </row>
    <row r="41" spans="1:10" s="46" customFormat="1" ht="18.75">
      <c r="A41" s="43"/>
      <c r="B41" s="44"/>
      <c r="C41" s="21" t="s">
        <v>88</v>
      </c>
      <c r="D41" s="45">
        <f>SUM(D2:D40)</f>
        <v>490000000</v>
      </c>
      <c r="E41" s="45">
        <f>SUM(E2:E40)</f>
        <v>379818500</v>
      </c>
      <c r="F41" s="47">
        <f>D41-E41</f>
        <v>110181500</v>
      </c>
      <c r="H41" s="91"/>
    </row>
    <row r="42" spans="1:10" s="2" customFormat="1" ht="15.75">
      <c r="A42" s="5"/>
      <c r="B42" s="5"/>
      <c r="C42" s="5"/>
      <c r="D42" s="5"/>
      <c r="E42" s="5"/>
      <c r="F42" s="5"/>
      <c r="H42" s="60"/>
    </row>
    <row r="43" spans="1:10" ht="15.75">
      <c r="A43" s="96" t="s">
        <v>0</v>
      </c>
      <c r="B43" s="97"/>
      <c r="C43" s="6" t="s">
        <v>1</v>
      </c>
      <c r="D43" s="7" t="s">
        <v>2</v>
      </c>
      <c r="E43" s="7" t="s">
        <v>3</v>
      </c>
      <c r="F43" s="7" t="s">
        <v>4</v>
      </c>
    </row>
    <row r="44" spans="1:10" ht="15.75">
      <c r="A44" s="8">
        <v>2025</v>
      </c>
      <c r="B44" s="9"/>
      <c r="C44" s="10" t="s">
        <v>87</v>
      </c>
      <c r="D44" s="11">
        <f>D41</f>
        <v>490000000</v>
      </c>
      <c r="E44" s="11">
        <f>E41</f>
        <v>379818500</v>
      </c>
      <c r="F44" s="11">
        <f>F41</f>
        <v>110181500</v>
      </c>
    </row>
    <row r="45" spans="1:10" ht="15.75">
      <c r="A45" s="8"/>
      <c r="B45" s="16">
        <v>9</v>
      </c>
      <c r="C45" s="65" t="s">
        <v>321</v>
      </c>
      <c r="D45" s="19"/>
      <c r="E45" s="18"/>
      <c r="F45" s="22">
        <f t="shared" ref="F45:F91" si="5">F44+D45-E45</f>
        <v>110181500</v>
      </c>
      <c r="H45" s="60"/>
    </row>
    <row r="46" spans="1:10" ht="15.75">
      <c r="A46" s="8"/>
      <c r="B46" s="16"/>
      <c r="C46" s="66" t="s">
        <v>322</v>
      </c>
      <c r="D46" s="19"/>
      <c r="E46" s="18">
        <f>5*20000</f>
        <v>100000</v>
      </c>
      <c r="F46" s="22">
        <f t="shared" si="5"/>
        <v>110081500</v>
      </c>
      <c r="H46" s="60"/>
    </row>
    <row r="47" spans="1:10" ht="15.75">
      <c r="A47" s="8"/>
      <c r="B47" s="16"/>
      <c r="C47" s="66" t="s">
        <v>323</v>
      </c>
      <c r="D47" s="19"/>
      <c r="E47" s="18">
        <v>200000</v>
      </c>
      <c r="F47" s="22">
        <f t="shared" si="5"/>
        <v>109881500</v>
      </c>
      <c r="H47" s="60"/>
    </row>
    <row r="48" spans="1:10" ht="15.75">
      <c r="A48" s="8"/>
      <c r="B48" s="16"/>
      <c r="C48" s="66" t="s">
        <v>324</v>
      </c>
      <c r="D48" s="19"/>
      <c r="E48" s="18">
        <v>220000</v>
      </c>
      <c r="F48" s="22">
        <f t="shared" si="5"/>
        <v>109661500</v>
      </c>
      <c r="H48" s="60"/>
    </row>
    <row r="49" spans="1:8" ht="15.75">
      <c r="A49" s="8"/>
      <c r="B49" s="16"/>
      <c r="C49" s="66" t="s">
        <v>325</v>
      </c>
      <c r="D49" s="19"/>
      <c r="E49" s="18">
        <v>150000</v>
      </c>
      <c r="F49" s="22">
        <f t="shared" si="5"/>
        <v>109511500</v>
      </c>
      <c r="H49" s="60"/>
    </row>
    <row r="50" spans="1:8" ht="15.75">
      <c r="A50" s="8"/>
      <c r="B50" s="16"/>
      <c r="C50" s="66" t="s">
        <v>326</v>
      </c>
      <c r="D50" s="19"/>
      <c r="E50" s="18">
        <v>500000</v>
      </c>
      <c r="F50" s="22">
        <f t="shared" si="5"/>
        <v>109011500</v>
      </c>
      <c r="H50" s="60"/>
    </row>
    <row r="51" spans="1:8" ht="15.75">
      <c r="A51" s="8"/>
      <c r="B51" s="16"/>
      <c r="C51" s="66" t="s">
        <v>327</v>
      </c>
      <c r="D51" s="19"/>
      <c r="E51" s="18">
        <v>10000</v>
      </c>
      <c r="F51" s="22">
        <f t="shared" si="5"/>
        <v>109001500</v>
      </c>
      <c r="H51" s="60"/>
    </row>
    <row r="52" spans="1:8" ht="15.75">
      <c r="A52" s="8"/>
      <c r="B52" s="16"/>
      <c r="C52" s="66" t="s">
        <v>328</v>
      </c>
      <c r="D52" s="19"/>
      <c r="E52" s="18">
        <v>10000</v>
      </c>
      <c r="F52" s="22">
        <f t="shared" si="5"/>
        <v>108991500</v>
      </c>
      <c r="H52" s="60"/>
    </row>
    <row r="53" spans="1:8" ht="15.75">
      <c r="A53" s="8"/>
      <c r="B53" s="16"/>
      <c r="C53" s="66" t="s">
        <v>329</v>
      </c>
      <c r="D53" s="19"/>
      <c r="E53" s="18">
        <v>30000</v>
      </c>
      <c r="F53" s="22">
        <f t="shared" si="5"/>
        <v>108961500</v>
      </c>
      <c r="H53" s="60"/>
    </row>
    <row r="54" spans="1:8" ht="15.75">
      <c r="A54" s="8"/>
      <c r="B54" s="16"/>
      <c r="C54" s="66" t="s">
        <v>330</v>
      </c>
      <c r="D54" s="19"/>
      <c r="E54" s="18">
        <f>10*56000</f>
        <v>560000</v>
      </c>
      <c r="F54" s="22">
        <f t="shared" si="5"/>
        <v>108401500</v>
      </c>
      <c r="H54" s="60"/>
    </row>
    <row r="55" spans="1:8" ht="15.75">
      <c r="A55" s="8"/>
      <c r="B55" s="16"/>
      <c r="C55" s="66" t="s">
        <v>331</v>
      </c>
      <c r="D55" s="19"/>
      <c r="E55" s="18">
        <f>30*105000</f>
        <v>3150000</v>
      </c>
      <c r="F55" s="22">
        <f t="shared" si="5"/>
        <v>105251500</v>
      </c>
      <c r="H55" s="60"/>
    </row>
    <row r="56" spans="1:8" ht="15.75">
      <c r="A56" s="8"/>
      <c r="B56" s="16"/>
      <c r="C56" s="66" t="s">
        <v>332</v>
      </c>
      <c r="D56" s="19"/>
      <c r="E56" s="18">
        <f>2*65000</f>
        <v>130000</v>
      </c>
      <c r="F56" s="22">
        <f t="shared" si="5"/>
        <v>105121500</v>
      </c>
      <c r="H56" s="60"/>
    </row>
    <row r="57" spans="1:8" ht="15.75">
      <c r="A57" s="8"/>
      <c r="B57" s="16"/>
      <c r="C57" s="66" t="s">
        <v>333</v>
      </c>
      <c r="D57" s="19"/>
      <c r="E57" s="18">
        <f>2*15000</f>
        <v>30000</v>
      </c>
      <c r="F57" s="22">
        <f t="shared" si="5"/>
        <v>105091500</v>
      </c>
      <c r="H57" s="60"/>
    </row>
    <row r="58" spans="1:8" ht="15.75">
      <c r="A58" s="8"/>
      <c r="B58" s="16"/>
      <c r="C58" s="66" t="s">
        <v>322</v>
      </c>
      <c r="D58" s="19"/>
      <c r="E58" s="18">
        <f>5*20000</f>
        <v>100000</v>
      </c>
      <c r="F58" s="22">
        <f t="shared" si="5"/>
        <v>104991500</v>
      </c>
      <c r="H58" s="60">
        <f>SUM(E46:E58)</f>
        <v>5190000</v>
      </c>
    </row>
    <row r="59" spans="1:8" ht="15.75">
      <c r="A59" s="8"/>
      <c r="B59" s="16">
        <v>9</v>
      </c>
      <c r="C59" s="65" t="s">
        <v>334</v>
      </c>
      <c r="D59" s="19"/>
      <c r="E59" s="18"/>
      <c r="F59" s="22">
        <f t="shared" si="5"/>
        <v>104991500</v>
      </c>
      <c r="H59" s="60"/>
    </row>
    <row r="60" spans="1:8" ht="15.75">
      <c r="A60" s="8"/>
      <c r="B60" s="16"/>
      <c r="C60" s="66" t="s">
        <v>335</v>
      </c>
      <c r="D60" s="19"/>
      <c r="E60" s="18">
        <f>15*56000</f>
        <v>840000</v>
      </c>
      <c r="F60" s="22">
        <f t="shared" si="5"/>
        <v>104151500</v>
      </c>
      <c r="H60" s="60"/>
    </row>
    <row r="61" spans="1:8" ht="15.75">
      <c r="A61" s="12"/>
      <c r="B61" s="16"/>
      <c r="C61" s="66" t="s">
        <v>336</v>
      </c>
      <c r="D61" s="19"/>
      <c r="E61" s="18">
        <f>30*47000</f>
        <v>1410000</v>
      </c>
      <c r="F61" s="22">
        <f t="shared" si="5"/>
        <v>102741500</v>
      </c>
      <c r="H61" s="60"/>
    </row>
    <row r="62" spans="1:8" ht="15.75">
      <c r="A62" s="12"/>
      <c r="B62" s="16"/>
      <c r="C62" s="66" t="s">
        <v>337</v>
      </c>
      <c r="D62" s="19"/>
      <c r="E62" s="18">
        <f>200*1300</f>
        <v>260000</v>
      </c>
      <c r="F62" s="22">
        <f t="shared" si="5"/>
        <v>102481500</v>
      </c>
      <c r="H62" s="60"/>
    </row>
    <row r="63" spans="1:8" ht="15.75">
      <c r="A63" s="12"/>
      <c r="B63" s="16"/>
      <c r="C63" s="66" t="s">
        <v>338</v>
      </c>
      <c r="D63" s="19"/>
      <c r="E63" s="18">
        <f>4*15000</f>
        <v>60000</v>
      </c>
      <c r="F63" s="22">
        <f t="shared" si="5"/>
        <v>102421500</v>
      </c>
      <c r="H63" s="60"/>
    </row>
    <row r="64" spans="1:8" ht="15.75">
      <c r="A64" s="12"/>
      <c r="B64" s="16"/>
      <c r="C64" s="66" t="s">
        <v>339</v>
      </c>
      <c r="D64" s="19"/>
      <c r="E64" s="18">
        <f>3*25000</f>
        <v>75000</v>
      </c>
      <c r="F64" s="22">
        <f t="shared" si="5"/>
        <v>102346500</v>
      </c>
      <c r="H64" s="60"/>
    </row>
    <row r="65" spans="1:8" ht="15.75">
      <c r="A65" s="12"/>
      <c r="B65" s="16"/>
      <c r="C65" s="66" t="s">
        <v>340</v>
      </c>
      <c r="D65" s="19"/>
      <c r="E65" s="18">
        <v>15000</v>
      </c>
      <c r="F65" s="22">
        <f t="shared" si="5"/>
        <v>102331500</v>
      </c>
      <c r="H65" s="60"/>
    </row>
    <row r="66" spans="1:8" ht="15.75">
      <c r="A66" s="12"/>
      <c r="B66" s="16"/>
      <c r="C66" s="66" t="s">
        <v>341</v>
      </c>
      <c r="D66" s="19"/>
      <c r="E66" s="18">
        <v>50000</v>
      </c>
      <c r="F66" s="22">
        <f t="shared" si="5"/>
        <v>102281500</v>
      </c>
      <c r="H66" s="60"/>
    </row>
    <row r="67" spans="1:8" ht="15.75">
      <c r="A67" s="12"/>
      <c r="B67" s="16"/>
      <c r="C67" s="66" t="s">
        <v>342</v>
      </c>
      <c r="D67" s="19"/>
      <c r="E67" s="18">
        <f>12*90000</f>
        <v>1080000</v>
      </c>
      <c r="F67" s="22">
        <f t="shared" si="5"/>
        <v>101201500</v>
      </c>
      <c r="H67" s="60"/>
    </row>
    <row r="68" spans="1:8" ht="15.75">
      <c r="A68" s="12"/>
      <c r="B68" s="16"/>
      <c r="C68" s="66" t="s">
        <v>343</v>
      </c>
      <c r="D68" s="19"/>
      <c r="E68" s="18">
        <f>2*15000</f>
        <v>30000</v>
      </c>
      <c r="F68" s="22">
        <f t="shared" si="5"/>
        <v>101171500</v>
      </c>
      <c r="H68" s="60"/>
    </row>
    <row r="69" spans="1:8" ht="15.75">
      <c r="A69" s="12"/>
      <c r="B69" s="16"/>
      <c r="C69" s="66" t="s">
        <v>344</v>
      </c>
      <c r="D69" s="19"/>
      <c r="E69" s="18">
        <f>2*12000</f>
        <v>24000</v>
      </c>
      <c r="F69" s="22">
        <f t="shared" si="5"/>
        <v>101147500</v>
      </c>
      <c r="H69" s="60"/>
    </row>
    <row r="70" spans="1:8" ht="15.75">
      <c r="A70" s="12"/>
      <c r="B70" s="16"/>
      <c r="C70" s="66" t="s">
        <v>345</v>
      </c>
      <c r="D70" s="19"/>
      <c r="E70" s="18">
        <v>15000</v>
      </c>
      <c r="F70" s="22">
        <f t="shared" si="5"/>
        <v>101132500</v>
      </c>
      <c r="H70" s="60"/>
    </row>
    <row r="71" spans="1:8" ht="15.75">
      <c r="A71" s="12"/>
      <c r="B71" s="16"/>
      <c r="C71" s="66" t="s">
        <v>346</v>
      </c>
      <c r="D71" s="19"/>
      <c r="E71" s="18">
        <f>3*320000</f>
        <v>960000</v>
      </c>
      <c r="F71" s="22">
        <f t="shared" si="5"/>
        <v>100172500</v>
      </c>
      <c r="H71" s="60"/>
    </row>
    <row r="72" spans="1:8" ht="15.75">
      <c r="A72" s="12"/>
      <c r="B72" s="16"/>
      <c r="C72" s="66" t="s">
        <v>347</v>
      </c>
      <c r="D72" s="19"/>
      <c r="E72" s="18">
        <f>5*80000</f>
        <v>400000</v>
      </c>
      <c r="F72" s="22">
        <f t="shared" si="5"/>
        <v>99772500</v>
      </c>
      <c r="H72" s="60">
        <f>SUM(E60:E72)</f>
        <v>5219000</v>
      </c>
    </row>
    <row r="73" spans="1:8" ht="15.75">
      <c r="A73" s="12"/>
      <c r="B73" s="16">
        <v>9</v>
      </c>
      <c r="C73" s="65" t="s">
        <v>348</v>
      </c>
      <c r="D73" s="19"/>
      <c r="E73" s="18"/>
      <c r="F73" s="22">
        <f t="shared" si="5"/>
        <v>99772500</v>
      </c>
      <c r="H73" s="60"/>
    </row>
    <row r="74" spans="1:8" ht="15.75">
      <c r="A74" s="12"/>
      <c r="B74" s="16"/>
      <c r="C74" s="66" t="s">
        <v>330</v>
      </c>
      <c r="D74" s="19"/>
      <c r="E74" s="18">
        <f>10*56000</f>
        <v>560000</v>
      </c>
      <c r="F74" s="22">
        <f t="shared" si="5"/>
        <v>99212500</v>
      </c>
      <c r="H74" s="60"/>
    </row>
    <row r="75" spans="1:8" ht="15.75">
      <c r="A75" s="12"/>
      <c r="B75" s="16"/>
      <c r="C75" s="66" t="s">
        <v>333</v>
      </c>
      <c r="D75" s="19"/>
      <c r="E75" s="18">
        <f>2*15000</f>
        <v>30000</v>
      </c>
      <c r="F75" s="22">
        <f t="shared" si="5"/>
        <v>99182500</v>
      </c>
      <c r="H75" s="60"/>
    </row>
    <row r="76" spans="1:8" ht="15.75">
      <c r="A76" s="12"/>
      <c r="B76" s="16"/>
      <c r="C76" s="66" t="s">
        <v>349</v>
      </c>
      <c r="D76" s="19"/>
      <c r="E76" s="18">
        <f>100*1200</f>
        <v>120000</v>
      </c>
      <c r="F76" s="22">
        <f t="shared" si="5"/>
        <v>99062500</v>
      </c>
      <c r="H76" s="60"/>
    </row>
    <row r="77" spans="1:8" ht="15.75">
      <c r="A77" s="12"/>
      <c r="B77" s="16"/>
      <c r="C77" s="66" t="s">
        <v>350</v>
      </c>
      <c r="D77" s="19"/>
      <c r="E77" s="18">
        <f>15*520000</f>
        <v>7800000</v>
      </c>
      <c r="F77" s="22">
        <f t="shared" si="5"/>
        <v>91262500</v>
      </c>
      <c r="H77" s="60"/>
    </row>
    <row r="78" spans="1:8" ht="15.75">
      <c r="A78" s="12"/>
      <c r="B78" s="16"/>
      <c r="C78" s="66" t="s">
        <v>351</v>
      </c>
      <c r="D78" s="19"/>
      <c r="E78" s="18">
        <v>25000</v>
      </c>
      <c r="F78" s="22">
        <f t="shared" si="5"/>
        <v>91237500</v>
      </c>
      <c r="H78" s="60"/>
    </row>
    <row r="79" spans="1:8" ht="15.75">
      <c r="A79" s="12"/>
      <c r="B79" s="16"/>
      <c r="C79" s="66" t="s">
        <v>352</v>
      </c>
      <c r="D79" s="19"/>
      <c r="E79" s="18">
        <f>2*25000</f>
        <v>50000</v>
      </c>
      <c r="F79" s="22">
        <f t="shared" si="5"/>
        <v>91187500</v>
      </c>
      <c r="H79" s="60"/>
    </row>
    <row r="80" spans="1:8" ht="15.75">
      <c r="A80" s="12"/>
      <c r="B80" s="16"/>
      <c r="C80" s="66" t="s">
        <v>353</v>
      </c>
      <c r="D80" s="19"/>
      <c r="E80" s="18">
        <v>20000</v>
      </c>
      <c r="F80" s="22">
        <f t="shared" si="5"/>
        <v>91167500</v>
      </c>
      <c r="H80" s="60"/>
    </row>
    <row r="81" spans="1:9" ht="15.75">
      <c r="A81" s="12"/>
      <c r="B81" s="16"/>
      <c r="C81" s="66" t="s">
        <v>354</v>
      </c>
      <c r="D81" s="19"/>
      <c r="E81" s="18">
        <v>75000</v>
      </c>
      <c r="F81" s="22">
        <f t="shared" si="5"/>
        <v>91092500</v>
      </c>
      <c r="H81" s="60"/>
    </row>
    <row r="82" spans="1:9" ht="15.75">
      <c r="A82" s="12"/>
      <c r="B82" s="16"/>
      <c r="C82" s="66" t="s">
        <v>355</v>
      </c>
      <c r="D82" s="19"/>
      <c r="E82" s="18">
        <v>20000</v>
      </c>
      <c r="F82" s="22">
        <f t="shared" si="5"/>
        <v>91072500</v>
      </c>
      <c r="H82" s="60"/>
    </row>
    <row r="83" spans="1:9" ht="15.75">
      <c r="A83" s="12"/>
      <c r="B83" s="16"/>
      <c r="C83" s="66" t="s">
        <v>356</v>
      </c>
      <c r="D83" s="19"/>
      <c r="E83" s="18">
        <v>45000</v>
      </c>
      <c r="F83" s="22">
        <f t="shared" si="5"/>
        <v>91027500</v>
      </c>
      <c r="H83" s="60"/>
    </row>
    <row r="84" spans="1:9" ht="15.75">
      <c r="A84" s="12"/>
      <c r="B84" s="16"/>
      <c r="C84" s="66" t="s">
        <v>330</v>
      </c>
      <c r="D84" s="19"/>
      <c r="E84" s="18">
        <f>10*56000</f>
        <v>560000</v>
      </c>
      <c r="F84" s="22">
        <f t="shared" si="5"/>
        <v>90467500</v>
      </c>
      <c r="H84" s="60"/>
    </row>
    <row r="85" spans="1:9" ht="15.75">
      <c r="A85" s="12"/>
      <c r="B85" s="16"/>
      <c r="C85" s="66" t="s">
        <v>357</v>
      </c>
      <c r="D85" s="19"/>
      <c r="E85" s="18">
        <f>15*47000</f>
        <v>705000</v>
      </c>
      <c r="F85" s="22">
        <f t="shared" si="5"/>
        <v>89762500</v>
      </c>
      <c r="H85" s="60"/>
    </row>
    <row r="86" spans="1:9" ht="15.75">
      <c r="A86" s="12"/>
      <c r="B86" s="16"/>
      <c r="C86" s="66" t="s">
        <v>358</v>
      </c>
      <c r="D86" s="19"/>
      <c r="E86" s="18">
        <v>120000</v>
      </c>
      <c r="F86" s="22">
        <f t="shared" si="5"/>
        <v>89642500</v>
      </c>
      <c r="H86" s="60">
        <f>SUM(E74:E86)</f>
        <v>10130000</v>
      </c>
    </row>
    <row r="87" spans="1:9" ht="15.75">
      <c r="A87" s="12"/>
      <c r="B87" s="16">
        <v>9</v>
      </c>
      <c r="C87" s="65" t="s">
        <v>359</v>
      </c>
      <c r="D87" s="19"/>
      <c r="E87" s="18"/>
      <c r="F87" s="22">
        <f t="shared" si="5"/>
        <v>89642500</v>
      </c>
      <c r="H87" s="60"/>
    </row>
    <row r="88" spans="1:9" ht="15.75">
      <c r="A88" s="12"/>
      <c r="B88" s="16"/>
      <c r="C88" s="66" t="s">
        <v>360</v>
      </c>
      <c r="D88" s="19"/>
      <c r="E88" s="18">
        <f>2*20000</f>
        <v>40000</v>
      </c>
      <c r="F88" s="22">
        <f t="shared" si="5"/>
        <v>89602500</v>
      </c>
      <c r="H88" s="60"/>
    </row>
    <row r="89" spans="1:9" ht="15.75">
      <c r="A89" s="12"/>
      <c r="B89" s="16"/>
      <c r="C89" s="66" t="s">
        <v>257</v>
      </c>
      <c r="D89" s="19"/>
      <c r="E89" s="18">
        <v>50000</v>
      </c>
      <c r="F89" s="22">
        <f t="shared" si="5"/>
        <v>89552500</v>
      </c>
      <c r="H89" s="60"/>
    </row>
    <row r="90" spans="1:9" ht="15.75">
      <c r="A90" s="12"/>
      <c r="B90" s="16"/>
      <c r="C90" s="66" t="s">
        <v>361</v>
      </c>
      <c r="D90" s="19"/>
      <c r="E90" s="18">
        <v>20000</v>
      </c>
      <c r="F90" s="22">
        <f t="shared" si="5"/>
        <v>89532500</v>
      </c>
      <c r="H90" s="60"/>
    </row>
    <row r="91" spans="1:9" ht="15.75">
      <c r="A91" s="12"/>
      <c r="B91" s="16"/>
      <c r="C91" s="66" t="s">
        <v>347</v>
      </c>
      <c r="D91" s="19"/>
      <c r="E91" s="18">
        <f>5*80000</f>
        <v>400000</v>
      </c>
      <c r="F91" s="22">
        <f t="shared" si="5"/>
        <v>89132500</v>
      </c>
      <c r="H91" s="60">
        <f>SUM(E88:E91)</f>
        <v>510000</v>
      </c>
      <c r="I91" s="25">
        <f>SUM(H58:H91)</f>
        <v>21049000</v>
      </c>
    </row>
    <row r="92" spans="1:9" ht="15.75">
      <c r="A92" s="12"/>
      <c r="B92" s="16">
        <v>4</v>
      </c>
      <c r="C92" s="67" t="s">
        <v>363</v>
      </c>
      <c r="D92" s="19"/>
      <c r="E92" s="18"/>
      <c r="F92" s="22">
        <f t="shared" ref="F92:F155" si="6">F91+D92-E92</f>
        <v>89132500</v>
      </c>
      <c r="H92" s="60"/>
      <c r="I92" s="25"/>
    </row>
    <row r="93" spans="1:9" ht="15.75">
      <c r="A93" s="12"/>
      <c r="B93" s="16"/>
      <c r="C93" s="68" t="s">
        <v>364</v>
      </c>
      <c r="D93" s="19"/>
      <c r="E93" s="18">
        <f>5*30000</f>
        <v>150000</v>
      </c>
      <c r="F93" s="22">
        <f t="shared" si="6"/>
        <v>88982500</v>
      </c>
      <c r="H93" s="60"/>
      <c r="I93" s="25"/>
    </row>
    <row r="94" spans="1:9" ht="15.75">
      <c r="A94" s="12"/>
      <c r="B94" s="16"/>
      <c r="C94" s="68" t="s">
        <v>365</v>
      </c>
      <c r="D94" s="19"/>
      <c r="E94" s="18">
        <v>15000</v>
      </c>
      <c r="F94" s="22">
        <f t="shared" si="6"/>
        <v>88967500</v>
      </c>
      <c r="H94" s="60"/>
      <c r="I94" s="25"/>
    </row>
    <row r="95" spans="1:9" ht="15.75">
      <c r="A95" s="12"/>
      <c r="B95" s="16">
        <v>11</v>
      </c>
      <c r="C95" s="68" t="s">
        <v>366</v>
      </c>
      <c r="D95" s="19"/>
      <c r="E95" s="18">
        <v>500000</v>
      </c>
      <c r="F95" s="22">
        <f t="shared" si="6"/>
        <v>88467500</v>
      </c>
      <c r="H95" s="89">
        <f>SUM(E93:E95)</f>
        <v>665000</v>
      </c>
      <c r="I95" s="25"/>
    </row>
    <row r="96" spans="1:9" ht="15.75">
      <c r="A96" s="12"/>
      <c r="B96" s="16">
        <v>11</v>
      </c>
      <c r="C96" s="68" t="s">
        <v>367</v>
      </c>
      <c r="D96" s="19"/>
      <c r="E96" s="18"/>
      <c r="F96" s="22">
        <f t="shared" si="6"/>
        <v>88467500</v>
      </c>
      <c r="I96" s="25"/>
    </row>
    <row r="97" spans="1:9" ht="15.75">
      <c r="A97" s="12"/>
      <c r="B97" s="16"/>
      <c r="C97" s="63" t="s">
        <v>306</v>
      </c>
      <c r="D97" s="19"/>
      <c r="E97" s="18">
        <f>7*150000</f>
        <v>1050000</v>
      </c>
      <c r="F97" s="22">
        <f t="shared" si="6"/>
        <v>87417500</v>
      </c>
      <c r="I97" s="25"/>
    </row>
    <row r="98" spans="1:9" ht="15.75">
      <c r="A98" s="12"/>
      <c r="B98" s="16"/>
      <c r="C98" s="68" t="s">
        <v>181</v>
      </c>
      <c r="D98" s="19"/>
      <c r="E98" s="18">
        <f>6*150000</f>
        <v>900000</v>
      </c>
      <c r="F98" s="22">
        <f t="shared" si="6"/>
        <v>86517500</v>
      </c>
      <c r="I98" s="25"/>
    </row>
    <row r="99" spans="1:9" ht="15.75">
      <c r="A99" s="12"/>
      <c r="B99" s="16"/>
      <c r="C99" s="68" t="s">
        <v>171</v>
      </c>
      <c r="D99" s="19"/>
      <c r="E99" s="18">
        <f>6*150000</f>
        <v>900000</v>
      </c>
      <c r="F99" s="22">
        <f t="shared" si="6"/>
        <v>85617500</v>
      </c>
      <c r="I99" s="25"/>
    </row>
    <row r="100" spans="1:9" ht="15.75">
      <c r="A100" s="12"/>
      <c r="B100" s="16"/>
      <c r="C100" s="63" t="s">
        <v>222</v>
      </c>
      <c r="D100" s="19"/>
      <c r="E100" s="18">
        <f t="shared" ref="E100" si="7">7*150000</f>
        <v>1050000</v>
      </c>
      <c r="F100" s="22">
        <f t="shared" si="6"/>
        <v>84567500</v>
      </c>
      <c r="I100" s="25"/>
    </row>
    <row r="101" spans="1:9" ht="15.75">
      <c r="A101" s="12"/>
      <c r="B101" s="16"/>
      <c r="C101" s="68" t="s">
        <v>173</v>
      </c>
      <c r="D101" s="19"/>
      <c r="E101" s="18">
        <f>6*150000</f>
        <v>900000</v>
      </c>
      <c r="F101" s="22">
        <f t="shared" si="6"/>
        <v>83667500</v>
      </c>
      <c r="I101" s="25"/>
    </row>
    <row r="102" spans="1:9" ht="15.75">
      <c r="A102" s="12"/>
      <c r="B102" s="16"/>
      <c r="C102" s="68" t="s">
        <v>67</v>
      </c>
      <c r="D102" s="19"/>
      <c r="E102" s="18">
        <f>5*150000</f>
        <v>750000</v>
      </c>
      <c r="F102" s="22">
        <f t="shared" si="6"/>
        <v>82917500</v>
      </c>
      <c r="I102" s="25"/>
    </row>
    <row r="103" spans="1:9" ht="15.75">
      <c r="A103" s="12"/>
      <c r="B103" s="16"/>
      <c r="C103" s="68" t="s">
        <v>175</v>
      </c>
      <c r="D103" s="19"/>
      <c r="E103" s="18">
        <f>6*150000</f>
        <v>900000</v>
      </c>
      <c r="F103" s="22">
        <f t="shared" si="6"/>
        <v>82017500</v>
      </c>
      <c r="I103" s="25"/>
    </row>
    <row r="104" spans="1:9" ht="15.75">
      <c r="A104" s="12"/>
      <c r="B104" s="16"/>
      <c r="C104" s="63" t="s">
        <v>308</v>
      </c>
      <c r="D104" s="19"/>
      <c r="E104" s="18">
        <f t="shared" ref="E104:E105" si="8">7*150000</f>
        <v>1050000</v>
      </c>
      <c r="F104" s="22">
        <f t="shared" si="6"/>
        <v>80967500</v>
      </c>
      <c r="I104" s="25"/>
    </row>
    <row r="105" spans="1:9" ht="15.75">
      <c r="A105" s="12"/>
      <c r="B105" s="16"/>
      <c r="C105" s="58" t="s">
        <v>280</v>
      </c>
      <c r="D105" s="19"/>
      <c r="E105" s="18">
        <f t="shared" si="8"/>
        <v>1050000</v>
      </c>
      <c r="F105" s="22">
        <f t="shared" si="6"/>
        <v>79917500</v>
      </c>
      <c r="I105" s="25"/>
    </row>
    <row r="106" spans="1:9" ht="15.75">
      <c r="A106" s="12"/>
      <c r="B106" s="16"/>
      <c r="C106" s="68" t="s">
        <v>281</v>
      </c>
      <c r="D106" s="19"/>
      <c r="E106" s="18">
        <f>4*150000</f>
        <v>600000</v>
      </c>
      <c r="F106" s="22">
        <f t="shared" si="6"/>
        <v>79317500</v>
      </c>
      <c r="I106" s="25"/>
    </row>
    <row r="107" spans="1:9" ht="15.75">
      <c r="A107" s="12"/>
      <c r="B107" s="16"/>
      <c r="C107" s="68" t="s">
        <v>368</v>
      </c>
      <c r="D107" s="19"/>
      <c r="E107" s="18">
        <f>4*150000</f>
        <v>600000</v>
      </c>
      <c r="F107" s="22">
        <f t="shared" si="6"/>
        <v>78717500</v>
      </c>
      <c r="I107" s="25"/>
    </row>
    <row r="108" spans="1:9" ht="15.75">
      <c r="A108" s="12"/>
      <c r="B108" s="16"/>
      <c r="C108" s="68" t="s">
        <v>244</v>
      </c>
      <c r="D108" s="19"/>
      <c r="E108" s="18">
        <f>6*150000</f>
        <v>900000</v>
      </c>
      <c r="F108" s="22">
        <f t="shared" si="6"/>
        <v>77817500</v>
      </c>
      <c r="I108" s="25"/>
    </row>
    <row r="109" spans="1:9" ht="15.75">
      <c r="A109" s="12"/>
      <c r="B109" s="16"/>
      <c r="C109" s="68" t="s">
        <v>369</v>
      </c>
      <c r="D109" s="19"/>
      <c r="E109" s="18">
        <f>3*150000</f>
        <v>450000</v>
      </c>
      <c r="F109" s="22">
        <f t="shared" si="6"/>
        <v>77367500</v>
      </c>
      <c r="I109" s="25"/>
    </row>
    <row r="110" spans="1:9" ht="15.75">
      <c r="A110" s="12"/>
      <c r="B110" s="16"/>
      <c r="C110" s="63" t="s">
        <v>311</v>
      </c>
      <c r="D110" s="19"/>
      <c r="E110" s="18">
        <f>7*150000</f>
        <v>1050000</v>
      </c>
      <c r="F110" s="22">
        <f t="shared" si="6"/>
        <v>76317500</v>
      </c>
      <c r="I110" s="25"/>
    </row>
    <row r="111" spans="1:9" ht="15.75">
      <c r="A111" s="12"/>
      <c r="B111" s="16"/>
      <c r="C111" s="63" t="s">
        <v>227</v>
      </c>
      <c r="D111" s="19"/>
      <c r="E111" s="18">
        <f t="shared" ref="E111" si="9">7*150000</f>
        <v>1050000</v>
      </c>
      <c r="F111" s="22">
        <f t="shared" si="6"/>
        <v>75267500</v>
      </c>
      <c r="I111" s="25"/>
    </row>
    <row r="112" spans="1:9" ht="15.75">
      <c r="A112" s="12"/>
      <c r="B112" s="16"/>
      <c r="C112" s="68" t="s">
        <v>370</v>
      </c>
      <c r="D112" s="19"/>
      <c r="E112" s="18">
        <f>3*150000</f>
        <v>450000</v>
      </c>
      <c r="F112" s="22">
        <f t="shared" si="6"/>
        <v>74817500</v>
      </c>
      <c r="H112" s="89">
        <f>SUM(E97:E112)</f>
        <v>13650000</v>
      </c>
      <c r="I112" s="25"/>
    </row>
    <row r="113" spans="1:9" ht="15.75">
      <c r="A113" s="12"/>
      <c r="B113" s="16">
        <v>11</v>
      </c>
      <c r="C113" s="68" t="s">
        <v>252</v>
      </c>
      <c r="D113" s="19"/>
      <c r="E113" s="18">
        <f>50000+100000+80000+100000+50000</f>
        <v>380000</v>
      </c>
      <c r="F113" s="22">
        <f t="shared" si="6"/>
        <v>74437500</v>
      </c>
      <c r="I113" s="25"/>
    </row>
    <row r="114" spans="1:9" ht="15.75">
      <c r="A114" s="12"/>
      <c r="B114" s="16">
        <v>11</v>
      </c>
      <c r="C114" s="68" t="s">
        <v>371</v>
      </c>
      <c r="D114" s="19"/>
      <c r="E114" s="18">
        <f>1400000+2600000+1500000</f>
        <v>5500000</v>
      </c>
      <c r="F114" s="22">
        <f t="shared" si="6"/>
        <v>68937500</v>
      </c>
      <c r="I114" s="25"/>
    </row>
    <row r="115" spans="1:9" ht="15.75">
      <c r="A115" s="12"/>
      <c r="B115" s="16">
        <v>11</v>
      </c>
      <c r="C115" s="68" t="s">
        <v>372</v>
      </c>
      <c r="D115" s="19"/>
      <c r="E115" s="18">
        <f>200000+50000</f>
        <v>250000</v>
      </c>
      <c r="F115" s="22">
        <f t="shared" si="6"/>
        <v>68687500</v>
      </c>
      <c r="I115" s="25"/>
    </row>
    <row r="116" spans="1:9" ht="15.75">
      <c r="A116" s="12"/>
      <c r="B116" s="16">
        <v>11</v>
      </c>
      <c r="C116" s="68" t="s">
        <v>253</v>
      </c>
      <c r="D116" s="19"/>
      <c r="E116" s="18">
        <v>1800000</v>
      </c>
      <c r="F116" s="22">
        <f t="shared" si="6"/>
        <v>66887500</v>
      </c>
      <c r="H116" s="89">
        <f>SUM(E113:E116)</f>
        <v>7930000</v>
      </c>
      <c r="I116" s="69">
        <f>SUM(H95:H116)</f>
        <v>22245000</v>
      </c>
    </row>
    <row r="117" spans="1:9" ht="15.75">
      <c r="A117" s="12"/>
      <c r="B117" s="16">
        <v>19</v>
      </c>
      <c r="C117" s="70" t="s">
        <v>373</v>
      </c>
      <c r="D117" s="19"/>
      <c r="E117" s="18"/>
      <c r="F117" s="22">
        <f t="shared" si="6"/>
        <v>66887500</v>
      </c>
      <c r="I117" s="69"/>
    </row>
    <row r="118" spans="1:9" ht="15.75">
      <c r="A118" s="12"/>
      <c r="B118" s="16"/>
      <c r="C118" s="63" t="s">
        <v>306</v>
      </c>
      <c r="D118" s="19"/>
      <c r="E118" s="18">
        <f>7*150000</f>
        <v>1050000</v>
      </c>
      <c r="F118" s="22">
        <f t="shared" si="6"/>
        <v>65837500</v>
      </c>
      <c r="I118" s="69"/>
    </row>
    <row r="119" spans="1:9" ht="15.75">
      <c r="A119" s="12"/>
      <c r="B119" s="16"/>
      <c r="C119" s="70" t="s">
        <v>277</v>
      </c>
      <c r="D119" s="19"/>
      <c r="E119" s="18">
        <f>7*150000</f>
        <v>1050000</v>
      </c>
      <c r="F119" s="22">
        <f t="shared" si="6"/>
        <v>64787500</v>
      </c>
      <c r="I119" s="69"/>
    </row>
    <row r="120" spans="1:9" ht="15.75">
      <c r="A120" s="12"/>
      <c r="B120" s="16"/>
      <c r="C120" s="70" t="s">
        <v>307</v>
      </c>
      <c r="D120" s="19"/>
      <c r="E120" s="18">
        <f>7*150000</f>
        <v>1050000</v>
      </c>
      <c r="F120" s="22">
        <f t="shared" si="6"/>
        <v>63737500</v>
      </c>
      <c r="I120" s="69"/>
    </row>
    <row r="121" spans="1:9" ht="15.75">
      <c r="A121" s="12"/>
      <c r="B121" s="16"/>
      <c r="C121" s="63" t="s">
        <v>222</v>
      </c>
      <c r="D121" s="19"/>
      <c r="E121" s="18">
        <f t="shared" ref="E121" si="10">7*150000</f>
        <v>1050000</v>
      </c>
      <c r="F121" s="22">
        <f t="shared" si="6"/>
        <v>62687500</v>
      </c>
      <c r="I121" s="69"/>
    </row>
    <row r="122" spans="1:9" ht="15.75">
      <c r="A122" s="12"/>
      <c r="B122" s="16"/>
      <c r="C122" s="70" t="s">
        <v>118</v>
      </c>
      <c r="D122" s="19"/>
      <c r="E122" s="18">
        <f>7*150000</f>
        <v>1050000</v>
      </c>
      <c r="F122" s="22">
        <f t="shared" si="6"/>
        <v>61637500</v>
      </c>
      <c r="I122" s="69"/>
    </row>
    <row r="123" spans="1:9" ht="15.75">
      <c r="A123" s="12"/>
      <c r="B123" s="16"/>
      <c r="C123" s="70" t="s">
        <v>279</v>
      </c>
      <c r="D123" s="19"/>
      <c r="E123" s="18">
        <f>7*150000</f>
        <v>1050000</v>
      </c>
      <c r="F123" s="22">
        <f t="shared" si="6"/>
        <v>60587500</v>
      </c>
      <c r="I123" s="69"/>
    </row>
    <row r="124" spans="1:9" ht="15.75">
      <c r="A124" s="12"/>
      <c r="B124" s="16"/>
      <c r="C124" s="70" t="s">
        <v>224</v>
      </c>
      <c r="D124" s="19"/>
      <c r="E124" s="18">
        <f>7*150000</f>
        <v>1050000</v>
      </c>
      <c r="F124" s="22">
        <f t="shared" si="6"/>
        <v>59537500</v>
      </c>
      <c r="I124" s="69"/>
    </row>
    <row r="125" spans="1:9" ht="15.75">
      <c r="A125" s="12"/>
      <c r="B125" s="16"/>
      <c r="C125" s="70" t="s">
        <v>176</v>
      </c>
      <c r="D125" s="19"/>
      <c r="E125" s="18">
        <f>6*150000</f>
        <v>900000</v>
      </c>
      <c r="F125" s="22">
        <f t="shared" si="6"/>
        <v>58637500</v>
      </c>
      <c r="I125" s="69"/>
    </row>
    <row r="126" spans="1:9" ht="15.75">
      <c r="A126" s="12"/>
      <c r="B126" s="16"/>
      <c r="C126" s="58" t="s">
        <v>280</v>
      </c>
      <c r="D126" s="19"/>
      <c r="E126" s="18">
        <f t="shared" ref="E126" si="11">7*150000</f>
        <v>1050000</v>
      </c>
      <c r="F126" s="22">
        <f t="shared" si="6"/>
        <v>57587500</v>
      </c>
      <c r="I126" s="69"/>
    </row>
    <row r="127" spans="1:9" ht="15.75">
      <c r="A127" s="12"/>
      <c r="B127" s="16"/>
      <c r="C127" s="70" t="s">
        <v>375</v>
      </c>
      <c r="D127" s="19"/>
      <c r="E127" s="18">
        <f>2*150000</f>
        <v>300000</v>
      </c>
      <c r="F127" s="22">
        <f t="shared" si="6"/>
        <v>57287500</v>
      </c>
      <c r="I127" s="69"/>
    </row>
    <row r="128" spans="1:9" ht="15.75">
      <c r="A128" s="12"/>
      <c r="B128" s="16"/>
      <c r="C128" s="70" t="s">
        <v>374</v>
      </c>
      <c r="D128" s="19"/>
      <c r="E128" s="18">
        <f>0*150000</f>
        <v>0</v>
      </c>
      <c r="F128" s="22">
        <f t="shared" si="6"/>
        <v>57287500</v>
      </c>
      <c r="I128" s="69"/>
    </row>
    <row r="129" spans="1:9" ht="15.75">
      <c r="A129" s="12"/>
      <c r="B129" s="16"/>
      <c r="C129" s="68" t="s">
        <v>244</v>
      </c>
      <c r="D129" s="19"/>
      <c r="E129" s="18">
        <f>6*150000</f>
        <v>900000</v>
      </c>
      <c r="F129" s="22">
        <f t="shared" si="6"/>
        <v>56387500</v>
      </c>
      <c r="I129" s="69"/>
    </row>
    <row r="130" spans="1:9" ht="15.75">
      <c r="A130" s="12"/>
      <c r="B130" s="16"/>
      <c r="C130" s="70" t="s">
        <v>243</v>
      </c>
      <c r="D130" s="19"/>
      <c r="E130" s="18">
        <f>0*150000</f>
        <v>0</v>
      </c>
      <c r="F130" s="22">
        <f t="shared" si="6"/>
        <v>56387500</v>
      </c>
      <c r="I130" s="69"/>
    </row>
    <row r="131" spans="1:9" ht="15.75">
      <c r="A131" s="12"/>
      <c r="B131" s="16"/>
      <c r="C131" s="70" t="s">
        <v>376</v>
      </c>
      <c r="D131" s="19"/>
      <c r="E131" s="18">
        <f>4*150000</f>
        <v>600000</v>
      </c>
      <c r="F131" s="22">
        <f t="shared" si="6"/>
        <v>55787500</v>
      </c>
      <c r="I131" s="69"/>
    </row>
    <row r="132" spans="1:9" ht="15.75">
      <c r="A132" s="12"/>
      <c r="B132" s="16"/>
      <c r="C132" s="63" t="s">
        <v>227</v>
      </c>
      <c r="D132" s="19"/>
      <c r="E132" s="18">
        <f t="shared" ref="E132" si="12">7*150000</f>
        <v>1050000</v>
      </c>
      <c r="F132" s="22">
        <f t="shared" si="6"/>
        <v>54737500</v>
      </c>
      <c r="I132" s="69"/>
    </row>
    <row r="133" spans="1:9" ht="15.75">
      <c r="A133" s="12"/>
      <c r="B133" s="16"/>
      <c r="C133" s="70" t="s">
        <v>377</v>
      </c>
      <c r="D133" s="19"/>
      <c r="E133" s="18">
        <f>0*150000</f>
        <v>0</v>
      </c>
      <c r="F133" s="22">
        <f t="shared" si="6"/>
        <v>54737500</v>
      </c>
      <c r="H133" s="89">
        <f>SUM(E118:E132)</f>
        <v>12150000</v>
      </c>
      <c r="I133" s="69"/>
    </row>
    <row r="134" spans="1:9" ht="15.75">
      <c r="A134" s="12"/>
      <c r="B134" s="16">
        <v>19</v>
      </c>
      <c r="C134" s="71" t="s">
        <v>378</v>
      </c>
      <c r="D134" s="19"/>
      <c r="E134" s="18"/>
      <c r="F134" s="22">
        <f t="shared" si="6"/>
        <v>54737500</v>
      </c>
      <c r="I134" s="69"/>
    </row>
    <row r="135" spans="1:9" ht="15.75">
      <c r="A135" s="12"/>
      <c r="B135" s="16"/>
      <c r="C135" s="70" t="s">
        <v>379</v>
      </c>
      <c r="D135" s="19"/>
      <c r="E135" s="18">
        <v>40000</v>
      </c>
      <c r="F135" s="22">
        <f t="shared" si="6"/>
        <v>54697500</v>
      </c>
      <c r="I135" s="69"/>
    </row>
    <row r="136" spans="1:9" ht="15.75">
      <c r="A136" s="12"/>
      <c r="B136" s="16"/>
      <c r="C136" s="70" t="s">
        <v>380</v>
      </c>
      <c r="D136" s="19"/>
      <c r="E136" s="18">
        <v>40000</v>
      </c>
      <c r="F136" s="22">
        <f t="shared" si="6"/>
        <v>54657500</v>
      </c>
      <c r="H136" s="89">
        <f>SUM(E135:E136)</f>
        <v>80000</v>
      </c>
      <c r="I136" s="69"/>
    </row>
    <row r="137" spans="1:9" ht="15.75">
      <c r="A137" s="12"/>
      <c r="B137" s="16">
        <v>19</v>
      </c>
      <c r="C137" s="71" t="s">
        <v>381</v>
      </c>
      <c r="D137" s="19"/>
      <c r="E137" s="18"/>
      <c r="F137" s="22">
        <f t="shared" si="6"/>
        <v>54657500</v>
      </c>
      <c r="I137" s="69"/>
    </row>
    <row r="138" spans="1:9" ht="15.75">
      <c r="A138" s="12"/>
      <c r="B138" s="16"/>
      <c r="C138" s="70" t="s">
        <v>382</v>
      </c>
      <c r="D138" s="19"/>
      <c r="E138" s="18">
        <f>55*23000</f>
        <v>1265000</v>
      </c>
      <c r="F138" s="22">
        <f t="shared" si="6"/>
        <v>53392500</v>
      </c>
      <c r="I138" s="69"/>
    </row>
    <row r="139" spans="1:9" ht="15.75">
      <c r="A139" s="12"/>
      <c r="B139" s="16"/>
      <c r="C139" s="71" t="s">
        <v>383</v>
      </c>
      <c r="D139" s="19"/>
      <c r="E139" s="18">
        <f>20*50000</f>
        <v>1000000</v>
      </c>
      <c r="F139" s="22">
        <f t="shared" si="6"/>
        <v>52392500</v>
      </c>
      <c r="H139" s="89">
        <f>SUM(E138:E139)</f>
        <v>2265000</v>
      </c>
      <c r="I139" s="69"/>
    </row>
    <row r="140" spans="1:9" ht="60">
      <c r="A140" s="12"/>
      <c r="B140" s="74">
        <v>19</v>
      </c>
      <c r="C140" s="72" t="s">
        <v>384</v>
      </c>
      <c r="D140" s="75"/>
      <c r="E140" s="76">
        <v>2750000</v>
      </c>
      <c r="F140" s="22">
        <f t="shared" si="6"/>
        <v>49642500</v>
      </c>
      <c r="H140" s="79">
        <v>2750000</v>
      </c>
      <c r="I140" s="69"/>
    </row>
    <row r="141" spans="1:9" ht="15.75">
      <c r="A141" s="12"/>
      <c r="B141" s="16">
        <v>19</v>
      </c>
      <c r="C141" s="70" t="s">
        <v>253</v>
      </c>
      <c r="D141" s="19"/>
      <c r="E141" s="18">
        <v>1800000</v>
      </c>
      <c r="F141" s="22">
        <f t="shared" si="6"/>
        <v>47842500</v>
      </c>
      <c r="I141" s="69"/>
    </row>
    <row r="142" spans="1:9" ht="15.75">
      <c r="A142" s="12"/>
      <c r="B142" s="16">
        <v>19</v>
      </c>
      <c r="C142" s="70" t="s">
        <v>253</v>
      </c>
      <c r="D142" s="19"/>
      <c r="E142" s="18">
        <v>1800000</v>
      </c>
      <c r="F142" s="22">
        <f t="shared" si="6"/>
        <v>46042500</v>
      </c>
      <c r="I142" s="69"/>
    </row>
    <row r="143" spans="1:9" ht="15.75">
      <c r="A143" s="12"/>
      <c r="B143" s="16">
        <v>19</v>
      </c>
      <c r="C143" s="70" t="s">
        <v>385</v>
      </c>
      <c r="D143" s="19"/>
      <c r="E143" s="18">
        <v>100000</v>
      </c>
      <c r="F143" s="22">
        <f t="shared" si="6"/>
        <v>45942500</v>
      </c>
      <c r="I143" s="69"/>
    </row>
    <row r="144" spans="1:9" ht="15.75">
      <c r="A144" s="12"/>
      <c r="B144" s="16">
        <v>19</v>
      </c>
      <c r="C144" s="70" t="s">
        <v>386</v>
      </c>
      <c r="D144" s="19"/>
      <c r="E144" s="18">
        <v>100000</v>
      </c>
      <c r="F144" s="22">
        <f t="shared" si="6"/>
        <v>45842500</v>
      </c>
      <c r="I144" s="25"/>
    </row>
    <row r="145" spans="1:9" ht="15.75">
      <c r="A145" s="12"/>
      <c r="B145" s="16">
        <v>19</v>
      </c>
      <c r="C145" s="70" t="s">
        <v>252</v>
      </c>
      <c r="D145" s="19"/>
      <c r="E145" s="18">
        <v>300000</v>
      </c>
      <c r="F145" s="22">
        <f t="shared" si="6"/>
        <v>45542500</v>
      </c>
      <c r="I145" s="25"/>
    </row>
    <row r="146" spans="1:9" ht="15.75">
      <c r="A146" s="12"/>
      <c r="B146" s="16">
        <v>19</v>
      </c>
      <c r="C146" s="70" t="s">
        <v>387</v>
      </c>
      <c r="D146" s="19"/>
      <c r="E146" s="18">
        <v>3450000</v>
      </c>
      <c r="F146" s="22">
        <f t="shared" si="6"/>
        <v>42092500</v>
      </c>
      <c r="H146" s="89">
        <f>SUM(E141:E146)</f>
        <v>7550000</v>
      </c>
      <c r="I146" s="69">
        <f>SUM(H133:H146)</f>
        <v>24795000</v>
      </c>
    </row>
    <row r="147" spans="1:9" ht="15.75">
      <c r="A147" s="12"/>
      <c r="B147" s="16">
        <v>20</v>
      </c>
      <c r="C147" s="80" t="s">
        <v>388</v>
      </c>
      <c r="D147" s="19"/>
      <c r="E147" s="18"/>
      <c r="F147" s="22">
        <f t="shared" si="6"/>
        <v>42092500</v>
      </c>
      <c r="I147" s="69"/>
    </row>
    <row r="148" spans="1:9" ht="15.75">
      <c r="A148" s="12"/>
      <c r="B148" s="16"/>
      <c r="C148" s="81" t="s">
        <v>389</v>
      </c>
      <c r="D148" s="19"/>
      <c r="E148" s="18">
        <v>5000</v>
      </c>
      <c r="F148" s="22">
        <f t="shared" si="6"/>
        <v>42087500</v>
      </c>
      <c r="I148" s="69"/>
    </row>
    <row r="149" spans="1:9" ht="15.75">
      <c r="A149" s="12"/>
      <c r="B149" s="16"/>
      <c r="C149" s="80" t="s">
        <v>390</v>
      </c>
      <c r="D149" s="19"/>
      <c r="E149" s="18">
        <f>200*1200</f>
        <v>240000</v>
      </c>
      <c r="F149" s="22">
        <f t="shared" si="6"/>
        <v>41847500</v>
      </c>
      <c r="I149" s="69"/>
    </row>
    <row r="150" spans="1:9" ht="15.75">
      <c r="A150" s="12"/>
      <c r="B150" s="16"/>
      <c r="C150" s="81" t="s">
        <v>391</v>
      </c>
      <c r="D150" s="19"/>
      <c r="E150" s="18">
        <f>4*520000</f>
        <v>2080000</v>
      </c>
      <c r="F150" s="22">
        <f t="shared" si="6"/>
        <v>39767500</v>
      </c>
      <c r="I150" s="69"/>
    </row>
    <row r="151" spans="1:9" ht="15.75">
      <c r="A151" s="12"/>
      <c r="B151" s="16"/>
      <c r="C151" s="81" t="s">
        <v>392</v>
      </c>
      <c r="D151" s="19"/>
      <c r="E151" s="18">
        <f>10*10000</f>
        <v>100000</v>
      </c>
      <c r="F151" s="22">
        <f t="shared" si="6"/>
        <v>39667500</v>
      </c>
      <c r="I151" s="69"/>
    </row>
    <row r="152" spans="1:9" ht="15.75">
      <c r="A152" s="12"/>
      <c r="B152" s="16"/>
      <c r="C152" s="81" t="s">
        <v>393</v>
      </c>
      <c r="D152" s="19"/>
      <c r="E152" s="18">
        <v>35000</v>
      </c>
      <c r="F152" s="22">
        <f t="shared" si="6"/>
        <v>39632500</v>
      </c>
      <c r="I152" s="69"/>
    </row>
    <row r="153" spans="1:9" ht="15.75">
      <c r="A153" s="12"/>
      <c r="B153" s="16"/>
      <c r="C153" s="81" t="s">
        <v>394</v>
      </c>
      <c r="D153" s="19"/>
      <c r="E153" s="18">
        <v>50000</v>
      </c>
      <c r="F153" s="22">
        <f t="shared" si="6"/>
        <v>39582500</v>
      </c>
      <c r="I153" s="69"/>
    </row>
    <row r="154" spans="1:9" ht="15.75">
      <c r="A154" s="12"/>
      <c r="B154" s="16"/>
      <c r="C154" s="81" t="s">
        <v>395</v>
      </c>
      <c r="D154" s="19"/>
      <c r="E154" s="18">
        <f>5*20000</f>
        <v>100000</v>
      </c>
      <c r="F154" s="22">
        <f t="shared" si="6"/>
        <v>39482500</v>
      </c>
      <c r="I154" s="69"/>
    </row>
    <row r="155" spans="1:9" ht="15.75">
      <c r="A155" s="12"/>
      <c r="B155" s="16"/>
      <c r="C155" s="81" t="s">
        <v>396</v>
      </c>
      <c r="D155" s="19"/>
      <c r="E155" s="18">
        <f>100*200</f>
        <v>20000</v>
      </c>
      <c r="F155" s="22">
        <f t="shared" si="6"/>
        <v>39462500</v>
      </c>
      <c r="I155" s="69"/>
    </row>
    <row r="156" spans="1:9" ht="15.75">
      <c r="A156" s="12"/>
      <c r="B156" s="16"/>
      <c r="C156" s="81" t="s">
        <v>397</v>
      </c>
      <c r="D156" s="19"/>
      <c r="E156" s="18">
        <f>2*5000</f>
        <v>10000</v>
      </c>
      <c r="F156" s="22">
        <f t="shared" ref="F156:F180" si="13">F155+D156-E156</f>
        <v>39452500</v>
      </c>
      <c r="I156" s="69"/>
    </row>
    <row r="157" spans="1:9" ht="15.75">
      <c r="A157" s="12"/>
      <c r="B157" s="16"/>
      <c r="C157" s="81" t="s">
        <v>398</v>
      </c>
      <c r="D157" s="19"/>
      <c r="E157" s="18">
        <v>80000</v>
      </c>
      <c r="F157" s="22">
        <f t="shared" si="13"/>
        <v>39372500</v>
      </c>
      <c r="I157" s="69"/>
    </row>
    <row r="158" spans="1:9" ht="15.75">
      <c r="A158" s="12"/>
      <c r="B158" s="16"/>
      <c r="C158" s="81" t="s">
        <v>399</v>
      </c>
      <c r="D158" s="19"/>
      <c r="E158" s="18">
        <v>25000</v>
      </c>
      <c r="F158" s="22">
        <f t="shared" si="13"/>
        <v>39347500</v>
      </c>
      <c r="I158" s="69"/>
    </row>
    <row r="159" spans="1:9" ht="15.75">
      <c r="A159" s="12"/>
      <c r="B159" s="16"/>
      <c r="C159" s="81" t="s">
        <v>400</v>
      </c>
      <c r="D159" s="19"/>
      <c r="E159" s="18">
        <f>8*50000</f>
        <v>400000</v>
      </c>
      <c r="F159" s="22">
        <f t="shared" si="13"/>
        <v>38947500</v>
      </c>
      <c r="I159" s="69"/>
    </row>
    <row r="160" spans="1:9" ht="15.75">
      <c r="A160" s="12"/>
      <c r="B160" s="16"/>
      <c r="C160" s="81" t="s">
        <v>401</v>
      </c>
      <c r="D160" s="19"/>
      <c r="E160" s="18">
        <v>160000</v>
      </c>
      <c r="F160" s="22">
        <f t="shared" si="13"/>
        <v>38787500</v>
      </c>
      <c r="H160" s="89">
        <f>SUM(E247:E259)</f>
        <v>0</v>
      </c>
    </row>
    <row r="161" spans="1:9" ht="15.75">
      <c r="A161" s="12"/>
      <c r="B161" s="16">
        <v>20</v>
      </c>
      <c r="C161" s="80" t="s">
        <v>402</v>
      </c>
      <c r="D161" s="19"/>
      <c r="E161" s="18"/>
      <c r="F161" s="22">
        <f t="shared" si="13"/>
        <v>38787500</v>
      </c>
    </row>
    <row r="162" spans="1:9" ht="15.75">
      <c r="A162" s="12"/>
      <c r="B162" s="16"/>
      <c r="C162" s="81" t="s">
        <v>365</v>
      </c>
      <c r="D162" s="19"/>
      <c r="E162" s="18">
        <v>25000</v>
      </c>
      <c r="F162" s="22">
        <f t="shared" si="13"/>
        <v>38762500</v>
      </c>
    </row>
    <row r="163" spans="1:9" ht="15.75">
      <c r="A163" s="12"/>
      <c r="B163" s="16"/>
      <c r="C163" s="81" t="s">
        <v>403</v>
      </c>
      <c r="D163" s="19"/>
      <c r="E163" s="18">
        <f>2*35000</f>
        <v>70000</v>
      </c>
      <c r="F163" s="22">
        <f t="shared" si="13"/>
        <v>38692500</v>
      </c>
    </row>
    <row r="164" spans="1:9" ht="15.75">
      <c r="A164" s="12"/>
      <c r="B164" s="16"/>
      <c r="C164" s="81" t="s">
        <v>404</v>
      </c>
      <c r="D164" s="19"/>
      <c r="E164" s="18">
        <v>25000</v>
      </c>
      <c r="F164" s="22">
        <f t="shared" si="13"/>
        <v>38667500</v>
      </c>
    </row>
    <row r="165" spans="1:9" ht="15.75">
      <c r="A165" s="12"/>
      <c r="B165" s="16"/>
      <c r="C165" s="81" t="s">
        <v>405</v>
      </c>
      <c r="D165" s="19"/>
      <c r="E165" s="18">
        <v>35000</v>
      </c>
      <c r="F165" s="22">
        <f t="shared" si="13"/>
        <v>38632500</v>
      </c>
    </row>
    <row r="166" spans="1:9" ht="15.75">
      <c r="A166" s="12"/>
      <c r="B166" s="16"/>
      <c r="C166" s="81" t="s">
        <v>406</v>
      </c>
      <c r="D166" s="19"/>
      <c r="E166" s="18">
        <f>4*10000</f>
        <v>40000</v>
      </c>
      <c r="F166" s="22">
        <f t="shared" si="13"/>
        <v>38592500</v>
      </c>
    </row>
    <row r="167" spans="1:9" ht="15.75">
      <c r="A167" s="12"/>
      <c r="B167" s="16"/>
      <c r="C167" s="81" t="s">
        <v>347</v>
      </c>
      <c r="D167" s="19"/>
      <c r="E167" s="18">
        <f>5*80000</f>
        <v>400000</v>
      </c>
      <c r="F167" s="22">
        <f t="shared" si="13"/>
        <v>38192500</v>
      </c>
    </row>
    <row r="168" spans="1:9" ht="15.75">
      <c r="A168" s="12"/>
      <c r="B168" s="16"/>
      <c r="C168" s="81" t="s">
        <v>407</v>
      </c>
      <c r="D168" s="19"/>
      <c r="E168" s="18">
        <f>16*47000</f>
        <v>752000</v>
      </c>
      <c r="F168" s="22">
        <f t="shared" si="13"/>
        <v>37440500</v>
      </c>
    </row>
    <row r="169" spans="1:9" ht="15.75">
      <c r="A169" s="12"/>
      <c r="B169" s="16"/>
      <c r="C169" s="81" t="s">
        <v>408</v>
      </c>
      <c r="D169" s="19"/>
      <c r="E169" s="18">
        <f>3*20000</f>
        <v>60000</v>
      </c>
      <c r="F169" s="22">
        <f t="shared" si="13"/>
        <v>37380500</v>
      </c>
    </row>
    <row r="170" spans="1:9" ht="15.75">
      <c r="A170" s="12"/>
      <c r="B170" s="16"/>
      <c r="C170" s="81" t="s">
        <v>409</v>
      </c>
      <c r="D170" s="19"/>
      <c r="E170" s="18">
        <v>15000</v>
      </c>
      <c r="F170" s="22">
        <f t="shared" si="13"/>
        <v>37365500</v>
      </c>
      <c r="H170" s="79"/>
      <c r="I170" s="79"/>
    </row>
    <row r="171" spans="1:9" ht="15.75">
      <c r="A171" s="12"/>
      <c r="B171" s="16"/>
      <c r="C171" s="81" t="s">
        <v>410</v>
      </c>
      <c r="D171" s="19"/>
      <c r="E171" s="18">
        <f>2*5000</f>
        <v>10000</v>
      </c>
      <c r="F171" s="22">
        <f t="shared" si="13"/>
        <v>37355500</v>
      </c>
    </row>
    <row r="172" spans="1:9" ht="15.75">
      <c r="A172" s="12"/>
      <c r="B172" s="16"/>
      <c r="C172" s="81" t="s">
        <v>413</v>
      </c>
      <c r="D172" s="19"/>
      <c r="E172" s="18">
        <f>4*50000</f>
        <v>200000</v>
      </c>
      <c r="F172" s="22">
        <f t="shared" si="13"/>
        <v>37155500</v>
      </c>
    </row>
    <row r="173" spans="1:9" ht="15.75">
      <c r="A173" s="12"/>
      <c r="B173" s="16"/>
      <c r="C173" s="81" t="s">
        <v>411</v>
      </c>
      <c r="D173" s="19"/>
      <c r="E173" s="18">
        <v>20000</v>
      </c>
      <c r="F173" s="22">
        <f t="shared" si="13"/>
        <v>37135500</v>
      </c>
    </row>
    <row r="174" spans="1:9" ht="15.75">
      <c r="A174" s="12"/>
      <c r="B174" s="16"/>
      <c r="C174" s="81" t="s">
        <v>412</v>
      </c>
      <c r="D174" s="19"/>
      <c r="E174" s="18">
        <v>35000</v>
      </c>
      <c r="F174" s="22">
        <f t="shared" si="13"/>
        <v>37100500</v>
      </c>
      <c r="H174" s="89">
        <f>SUM(E261:E273)</f>
        <v>0</v>
      </c>
    </row>
    <row r="175" spans="1:9" ht="15.75">
      <c r="A175" s="12"/>
      <c r="B175" s="16">
        <v>20</v>
      </c>
      <c r="C175" s="80" t="s">
        <v>414</v>
      </c>
      <c r="D175" s="19"/>
      <c r="E175" s="18"/>
      <c r="F175" s="22">
        <f t="shared" si="13"/>
        <v>37100500</v>
      </c>
    </row>
    <row r="176" spans="1:9" ht="15.75">
      <c r="A176" s="12"/>
      <c r="B176" s="16"/>
      <c r="C176" s="81" t="s">
        <v>415</v>
      </c>
      <c r="D176" s="19"/>
      <c r="E176" s="18">
        <f>5*56000</f>
        <v>280000</v>
      </c>
      <c r="F176" s="22">
        <f t="shared" si="13"/>
        <v>36820500</v>
      </c>
    </row>
    <row r="177" spans="1:9" ht="15.75">
      <c r="A177" s="12"/>
      <c r="B177" s="16"/>
      <c r="C177" s="81" t="s">
        <v>416</v>
      </c>
      <c r="D177" s="19"/>
      <c r="E177" s="18">
        <f>50*68000</f>
        <v>3400000</v>
      </c>
      <c r="F177" s="22">
        <f t="shared" si="13"/>
        <v>33420500</v>
      </c>
    </row>
    <row r="178" spans="1:9" ht="15.75">
      <c r="A178" s="12"/>
      <c r="B178" s="16"/>
      <c r="C178" s="81" t="s">
        <v>417</v>
      </c>
      <c r="D178" s="19"/>
      <c r="E178" s="18">
        <f>3*47000</f>
        <v>141000</v>
      </c>
      <c r="F178" s="22">
        <f t="shared" si="13"/>
        <v>33279500</v>
      </c>
    </row>
    <row r="179" spans="1:9" ht="15.75">
      <c r="A179" s="12"/>
      <c r="B179" s="16"/>
      <c r="C179" s="81" t="s">
        <v>418</v>
      </c>
      <c r="D179" s="19"/>
      <c r="E179" s="18">
        <f>14*40000</f>
        <v>560000</v>
      </c>
      <c r="F179" s="22">
        <f t="shared" si="13"/>
        <v>32719500</v>
      </c>
    </row>
    <row r="180" spans="1:9" ht="15.75">
      <c r="A180" s="12"/>
      <c r="B180" s="16"/>
      <c r="C180" s="81" t="s">
        <v>346</v>
      </c>
      <c r="D180" s="19"/>
      <c r="E180" s="18">
        <f>3*320000</f>
        <v>960000</v>
      </c>
      <c r="F180" s="22">
        <f t="shared" si="13"/>
        <v>31759500</v>
      </c>
      <c r="H180" s="89">
        <f>SUM(E275:E304)</f>
        <v>0</v>
      </c>
      <c r="I180" s="69">
        <f>SUM(H160:H180)</f>
        <v>0</v>
      </c>
    </row>
    <row r="181" spans="1:9" ht="15.75">
      <c r="A181" s="12"/>
      <c r="B181" s="16">
        <v>22</v>
      </c>
      <c r="C181" s="87" t="s">
        <v>419</v>
      </c>
      <c r="D181" s="19"/>
      <c r="E181" s="18"/>
      <c r="F181" s="22">
        <f t="shared" ref="F181:F197" si="14">F180+D181-E181</f>
        <v>31759500</v>
      </c>
    </row>
    <row r="182" spans="1:9" ht="15.75">
      <c r="A182" s="12"/>
      <c r="B182" s="16"/>
      <c r="C182" s="87" t="s">
        <v>420</v>
      </c>
      <c r="D182" s="19"/>
      <c r="E182" s="18">
        <f>(6+1/2)*150000</f>
        <v>975000</v>
      </c>
      <c r="F182" s="22">
        <f t="shared" si="14"/>
        <v>30784500</v>
      </c>
    </row>
    <row r="183" spans="1:9" ht="15.75">
      <c r="A183" s="12"/>
      <c r="B183" s="16"/>
      <c r="C183" s="87" t="s">
        <v>421</v>
      </c>
      <c r="D183" s="19"/>
      <c r="E183" s="18">
        <f>1*150000</f>
        <v>150000</v>
      </c>
      <c r="F183" s="22">
        <f t="shared" si="14"/>
        <v>30634500</v>
      </c>
    </row>
    <row r="184" spans="1:9" ht="15.75">
      <c r="A184" s="12"/>
      <c r="B184" s="16"/>
      <c r="C184" s="87" t="s">
        <v>422</v>
      </c>
      <c r="D184" s="19"/>
      <c r="E184" s="18">
        <f>(6+1/2)*150000</f>
        <v>975000</v>
      </c>
      <c r="F184" s="22">
        <f t="shared" si="14"/>
        <v>29659500</v>
      </c>
    </row>
    <row r="185" spans="1:9" ht="15.75">
      <c r="A185" s="12"/>
      <c r="B185" s="16"/>
      <c r="C185" s="87" t="s">
        <v>423</v>
      </c>
      <c r="D185" s="19"/>
      <c r="E185" s="18">
        <f t="shared" ref="E185:E194" si="15">(6+1/2)*150000</f>
        <v>975000</v>
      </c>
      <c r="F185" s="22">
        <f t="shared" si="14"/>
        <v>28684500</v>
      </c>
    </row>
    <row r="186" spans="1:9" ht="15.75">
      <c r="A186" s="12"/>
      <c r="B186" s="16"/>
      <c r="C186" s="87" t="s">
        <v>424</v>
      </c>
      <c r="D186" s="19"/>
      <c r="E186" s="18">
        <f t="shared" si="15"/>
        <v>975000</v>
      </c>
      <c r="F186" s="22">
        <f t="shared" si="14"/>
        <v>27709500</v>
      </c>
    </row>
    <row r="187" spans="1:9" ht="15.75">
      <c r="A187" s="12"/>
      <c r="B187" s="16"/>
      <c r="C187" s="87" t="s">
        <v>425</v>
      </c>
      <c r="D187" s="19"/>
      <c r="E187" s="18">
        <f t="shared" si="15"/>
        <v>975000</v>
      </c>
      <c r="F187" s="22">
        <f t="shared" si="14"/>
        <v>26734500</v>
      </c>
    </row>
    <row r="188" spans="1:9" ht="15.75">
      <c r="A188" s="12"/>
      <c r="B188" s="16"/>
      <c r="C188" s="87" t="s">
        <v>426</v>
      </c>
      <c r="D188" s="19"/>
      <c r="E188" s="18">
        <f t="shared" si="15"/>
        <v>975000</v>
      </c>
      <c r="F188" s="22">
        <f t="shared" si="14"/>
        <v>25759500</v>
      </c>
    </row>
    <row r="189" spans="1:9" ht="15.75">
      <c r="A189" s="12"/>
      <c r="B189" s="16"/>
      <c r="C189" s="87" t="s">
        <v>427</v>
      </c>
      <c r="D189" s="19"/>
      <c r="E189" s="18">
        <f t="shared" si="15"/>
        <v>975000</v>
      </c>
      <c r="F189" s="22">
        <f t="shared" si="14"/>
        <v>24784500</v>
      </c>
    </row>
    <row r="190" spans="1:9" ht="15.75">
      <c r="A190" s="12"/>
      <c r="B190" s="16"/>
      <c r="C190" s="87" t="s">
        <v>428</v>
      </c>
      <c r="D190" s="19"/>
      <c r="E190" s="18">
        <f t="shared" si="15"/>
        <v>975000</v>
      </c>
      <c r="F190" s="22">
        <f t="shared" si="14"/>
        <v>23809500</v>
      </c>
    </row>
    <row r="191" spans="1:9" ht="15.75">
      <c r="A191" s="12"/>
      <c r="B191" s="16"/>
      <c r="C191" s="87" t="s">
        <v>429</v>
      </c>
      <c r="D191" s="19"/>
      <c r="E191" s="18">
        <f>(5+1/2)*150000</f>
        <v>825000</v>
      </c>
      <c r="F191" s="22">
        <f t="shared" si="14"/>
        <v>22984500</v>
      </c>
    </row>
    <row r="192" spans="1:9" ht="15.75">
      <c r="A192" s="12"/>
      <c r="B192" s="16"/>
      <c r="C192" s="87" t="s">
        <v>430</v>
      </c>
      <c r="D192" s="19"/>
      <c r="E192" s="18">
        <f t="shared" si="15"/>
        <v>975000</v>
      </c>
      <c r="F192" s="22">
        <f t="shared" si="14"/>
        <v>22009500</v>
      </c>
    </row>
    <row r="193" spans="1:9" ht="15.75">
      <c r="A193" s="12"/>
      <c r="B193" s="16"/>
      <c r="C193" s="87" t="s">
        <v>431</v>
      </c>
      <c r="D193" s="19"/>
      <c r="E193" s="18">
        <f t="shared" si="15"/>
        <v>975000</v>
      </c>
      <c r="F193" s="22">
        <f t="shared" si="14"/>
        <v>21034500</v>
      </c>
    </row>
    <row r="194" spans="1:9" ht="15.75">
      <c r="A194" s="12"/>
      <c r="B194" s="16"/>
      <c r="C194" s="87" t="s">
        <v>432</v>
      </c>
      <c r="D194" s="19"/>
      <c r="E194" s="18">
        <f t="shared" si="15"/>
        <v>975000</v>
      </c>
      <c r="F194" s="22">
        <f t="shared" si="14"/>
        <v>20059500</v>
      </c>
      <c r="H194" s="89">
        <f>SUM(E182:E194)</f>
        <v>11700000</v>
      </c>
    </row>
    <row r="195" spans="1:9" ht="15.75">
      <c r="A195" s="12"/>
      <c r="B195" s="16">
        <v>22</v>
      </c>
      <c r="C195" s="88" t="s">
        <v>252</v>
      </c>
      <c r="D195" s="19"/>
      <c r="E195" s="18">
        <f>70000+50000</f>
        <v>120000</v>
      </c>
      <c r="F195" s="22">
        <f t="shared" si="14"/>
        <v>19939500</v>
      </c>
      <c r="H195" s="89">
        <v>120000</v>
      </c>
    </row>
    <row r="196" spans="1:9" ht="15.75">
      <c r="A196" s="12"/>
      <c r="B196" s="16">
        <v>22</v>
      </c>
      <c r="C196" s="92" t="s">
        <v>433</v>
      </c>
      <c r="D196" s="19"/>
      <c r="E196" s="18"/>
      <c r="F196" s="22">
        <f t="shared" si="14"/>
        <v>19939500</v>
      </c>
    </row>
    <row r="197" spans="1:9" ht="15.75">
      <c r="A197" s="12"/>
      <c r="B197" s="16"/>
      <c r="C197" s="87" t="s">
        <v>434</v>
      </c>
      <c r="D197" s="19"/>
      <c r="E197" s="18">
        <f>50*23000</f>
        <v>1150000</v>
      </c>
      <c r="F197" s="22">
        <f t="shared" si="14"/>
        <v>18789500</v>
      </c>
      <c r="H197" s="89">
        <f>E197</f>
        <v>1150000</v>
      </c>
      <c r="I197" s="93">
        <f>SUM(H194:H197)</f>
        <v>12970000</v>
      </c>
    </row>
    <row r="198" spans="1:9" ht="15.75">
      <c r="A198" s="12"/>
      <c r="B198" s="16">
        <v>26</v>
      </c>
      <c r="C198" s="92" t="s">
        <v>435</v>
      </c>
      <c r="D198" s="19"/>
      <c r="E198" s="18"/>
      <c r="F198" s="22">
        <f t="shared" ref="F198:F239" si="16">F197+D198-E198</f>
        <v>18789500</v>
      </c>
    </row>
    <row r="199" spans="1:9" ht="15.75">
      <c r="A199" s="12"/>
      <c r="B199" s="16"/>
      <c r="C199" s="87" t="s">
        <v>436</v>
      </c>
      <c r="D199" s="19"/>
      <c r="E199" s="18">
        <f>3*20000</f>
        <v>60000</v>
      </c>
      <c r="F199" s="22">
        <f t="shared" si="16"/>
        <v>18729500</v>
      </c>
    </row>
    <row r="200" spans="1:9" ht="15.75">
      <c r="A200" s="12"/>
      <c r="B200" s="16"/>
      <c r="C200" s="87" t="s">
        <v>437</v>
      </c>
      <c r="D200" s="19"/>
      <c r="E200" s="18">
        <f>3*30000</f>
        <v>90000</v>
      </c>
      <c r="F200" s="22">
        <f t="shared" si="16"/>
        <v>18639500</v>
      </c>
    </row>
    <row r="201" spans="1:9" ht="15.75">
      <c r="A201" s="12"/>
      <c r="B201" s="16"/>
      <c r="C201" s="87" t="s">
        <v>438</v>
      </c>
      <c r="D201" s="19"/>
      <c r="E201" s="18">
        <v>10000</v>
      </c>
      <c r="F201" s="22">
        <f t="shared" si="16"/>
        <v>18629500</v>
      </c>
    </row>
    <row r="202" spans="1:9" ht="15.75">
      <c r="A202" s="12"/>
      <c r="B202" s="16"/>
      <c r="C202" s="87" t="s">
        <v>439</v>
      </c>
      <c r="D202" s="19"/>
      <c r="E202" s="18">
        <v>25000</v>
      </c>
      <c r="F202" s="22">
        <f t="shared" si="16"/>
        <v>18604500</v>
      </c>
    </row>
    <row r="203" spans="1:9" ht="15.75">
      <c r="A203" s="12"/>
      <c r="B203" s="16"/>
      <c r="C203" s="87" t="s">
        <v>440</v>
      </c>
      <c r="D203" s="19"/>
      <c r="E203" s="18">
        <f>300*200</f>
        <v>60000</v>
      </c>
      <c r="F203" s="22">
        <f t="shared" si="16"/>
        <v>18544500</v>
      </c>
    </row>
    <row r="204" spans="1:9" ht="15.75">
      <c r="A204" s="12"/>
      <c r="B204" s="16"/>
      <c r="C204" s="87" t="s">
        <v>441</v>
      </c>
      <c r="D204" s="19"/>
      <c r="E204" s="18">
        <f>23*47000</f>
        <v>1081000</v>
      </c>
      <c r="F204" s="22">
        <f t="shared" si="16"/>
        <v>17463500</v>
      </c>
      <c r="G204" s="77"/>
      <c r="H204" s="79"/>
      <c r="I204" s="77"/>
    </row>
    <row r="205" spans="1:9" ht="15.75">
      <c r="A205" s="12"/>
      <c r="B205" s="16"/>
      <c r="C205" s="87" t="s">
        <v>442</v>
      </c>
      <c r="D205" s="19"/>
      <c r="E205" s="18">
        <f>2*235000</f>
        <v>470000</v>
      </c>
      <c r="F205" s="22">
        <f t="shared" si="16"/>
        <v>16993500</v>
      </c>
    </row>
    <row r="206" spans="1:9" ht="15.75">
      <c r="A206" s="12"/>
      <c r="B206" s="16"/>
      <c r="C206" s="87" t="s">
        <v>443</v>
      </c>
      <c r="D206" s="19"/>
      <c r="E206" s="18">
        <f>2*145000</f>
        <v>290000</v>
      </c>
      <c r="F206" s="22">
        <f t="shared" si="16"/>
        <v>16703500</v>
      </c>
    </row>
    <row r="207" spans="1:9" ht="15.75">
      <c r="A207" s="12"/>
      <c r="B207" s="16"/>
      <c r="C207" s="87" t="s">
        <v>444</v>
      </c>
      <c r="D207" s="19"/>
      <c r="E207" s="18">
        <f>5*105000</f>
        <v>525000</v>
      </c>
      <c r="F207" s="22">
        <f t="shared" si="16"/>
        <v>16178500</v>
      </c>
    </row>
    <row r="208" spans="1:9" ht="15.75">
      <c r="A208" s="12"/>
      <c r="B208" s="16"/>
      <c r="C208" s="87" t="s">
        <v>445</v>
      </c>
      <c r="D208" s="19"/>
      <c r="E208" s="18">
        <f>2*550000</f>
        <v>1100000</v>
      </c>
      <c r="F208" s="22">
        <f t="shared" si="16"/>
        <v>15078500</v>
      </c>
    </row>
    <row r="209" spans="1:8" ht="15.75">
      <c r="A209" s="12"/>
      <c r="B209" s="16"/>
      <c r="C209" s="87" t="s">
        <v>446</v>
      </c>
      <c r="D209" s="19"/>
      <c r="E209" s="18">
        <v>1450000</v>
      </c>
      <c r="F209" s="22">
        <f t="shared" si="16"/>
        <v>13628500</v>
      </c>
    </row>
    <row r="210" spans="1:8" ht="15.75">
      <c r="A210" s="12"/>
      <c r="B210" s="16"/>
      <c r="C210" s="87" t="s">
        <v>447</v>
      </c>
      <c r="D210" s="19"/>
      <c r="E210" s="18">
        <f>3*60000</f>
        <v>180000</v>
      </c>
      <c r="F210" s="22">
        <f t="shared" si="16"/>
        <v>13448500</v>
      </c>
    </row>
    <row r="211" spans="1:8" ht="15.75">
      <c r="A211" s="12"/>
      <c r="B211" s="16"/>
      <c r="C211" s="87" t="s">
        <v>448</v>
      </c>
      <c r="D211" s="19"/>
      <c r="E211" s="18">
        <f>2*12000</f>
        <v>24000</v>
      </c>
      <c r="F211" s="22">
        <f t="shared" si="16"/>
        <v>13424500</v>
      </c>
      <c r="H211" s="89">
        <f>SUM(E199:E211)</f>
        <v>5365000</v>
      </c>
    </row>
    <row r="212" spans="1:8" ht="15.75">
      <c r="A212" s="12"/>
      <c r="B212" s="16">
        <v>26</v>
      </c>
      <c r="C212" s="92" t="s">
        <v>449</v>
      </c>
      <c r="D212" s="19"/>
      <c r="E212" s="18"/>
      <c r="F212" s="22">
        <f t="shared" si="16"/>
        <v>13424500</v>
      </c>
    </row>
    <row r="213" spans="1:8" ht="15.75">
      <c r="A213" s="12"/>
      <c r="B213" s="16"/>
      <c r="C213" s="87" t="s">
        <v>450</v>
      </c>
      <c r="D213" s="19"/>
      <c r="E213" s="18">
        <f>100*4000</f>
        <v>400000</v>
      </c>
      <c r="F213" s="22">
        <f t="shared" si="16"/>
        <v>13024500</v>
      </c>
    </row>
    <row r="214" spans="1:8" ht="15.75">
      <c r="A214" s="12"/>
      <c r="B214" s="16"/>
      <c r="C214" s="87" t="s">
        <v>451</v>
      </c>
      <c r="D214" s="19"/>
      <c r="E214" s="18">
        <f>30*20000</f>
        <v>600000</v>
      </c>
      <c r="F214" s="22">
        <f t="shared" si="16"/>
        <v>12424500</v>
      </c>
    </row>
    <row r="215" spans="1:8" ht="15.75">
      <c r="A215" s="12"/>
      <c r="B215" s="16"/>
      <c r="C215" s="87" t="s">
        <v>452</v>
      </c>
      <c r="D215" s="19"/>
      <c r="E215" s="18">
        <f>10*5000</f>
        <v>50000</v>
      </c>
      <c r="F215" s="22">
        <f t="shared" si="16"/>
        <v>12374500</v>
      </c>
    </row>
    <row r="216" spans="1:8" ht="15.75">
      <c r="A216" s="12"/>
      <c r="B216" s="16"/>
      <c r="C216" s="87" t="s">
        <v>453</v>
      </c>
      <c r="D216" s="19"/>
      <c r="E216" s="18">
        <v>65000</v>
      </c>
      <c r="F216" s="22">
        <f t="shared" si="16"/>
        <v>12309500</v>
      </c>
    </row>
    <row r="217" spans="1:8" ht="15.75">
      <c r="A217" s="12"/>
      <c r="B217" s="16"/>
      <c r="C217" s="87" t="s">
        <v>454</v>
      </c>
      <c r="D217" s="19"/>
      <c r="E217" s="18">
        <v>10000</v>
      </c>
      <c r="F217" s="22">
        <f t="shared" si="16"/>
        <v>12299500</v>
      </c>
    </row>
    <row r="218" spans="1:8" ht="15.75">
      <c r="A218" s="12"/>
      <c r="B218" s="16"/>
      <c r="C218" s="87" t="s">
        <v>455</v>
      </c>
      <c r="D218" s="19"/>
      <c r="E218" s="18">
        <f>25*25000</f>
        <v>625000</v>
      </c>
      <c r="F218" s="22">
        <f t="shared" si="16"/>
        <v>11674500</v>
      </c>
      <c r="H218" s="89">
        <f>SUM(E213:E218)</f>
        <v>1750000</v>
      </c>
    </row>
    <row r="219" spans="1:8" ht="15.75">
      <c r="A219" s="12"/>
      <c r="B219" s="16">
        <v>26</v>
      </c>
      <c r="C219" s="92" t="s">
        <v>456</v>
      </c>
      <c r="D219" s="19"/>
      <c r="E219" s="18"/>
      <c r="F219" s="22">
        <f t="shared" si="16"/>
        <v>11674500</v>
      </c>
    </row>
    <row r="220" spans="1:8" ht="15.75">
      <c r="A220" s="12"/>
      <c r="B220" s="16"/>
      <c r="C220" s="87" t="s">
        <v>458</v>
      </c>
      <c r="D220" s="19"/>
      <c r="E220" s="18">
        <v>65000</v>
      </c>
      <c r="F220" s="22">
        <f t="shared" si="16"/>
        <v>11609500</v>
      </c>
    </row>
    <row r="221" spans="1:8" ht="15.75">
      <c r="A221" s="12"/>
      <c r="B221" s="16"/>
      <c r="C221" s="87" t="s">
        <v>459</v>
      </c>
      <c r="D221" s="19"/>
      <c r="E221" s="18">
        <f>12*47000</f>
        <v>564000</v>
      </c>
      <c r="F221" s="22">
        <f t="shared" si="16"/>
        <v>11045500</v>
      </c>
    </row>
    <row r="222" spans="1:8" ht="15.75">
      <c r="A222" s="12"/>
      <c r="B222" s="16"/>
      <c r="C222" s="87" t="s">
        <v>460</v>
      </c>
      <c r="D222" s="19"/>
      <c r="E222" s="18">
        <f>8*105000</f>
        <v>840000</v>
      </c>
      <c r="F222" s="22">
        <f t="shared" si="16"/>
        <v>10205500</v>
      </c>
    </row>
    <row r="223" spans="1:8" ht="15.75">
      <c r="A223" s="12"/>
      <c r="B223" s="16"/>
      <c r="C223" s="87" t="s">
        <v>349</v>
      </c>
      <c r="D223" s="19"/>
      <c r="E223" s="18">
        <f>100*1200</f>
        <v>120000</v>
      </c>
      <c r="F223" s="22">
        <f t="shared" si="16"/>
        <v>10085500</v>
      </c>
    </row>
    <row r="224" spans="1:8" ht="15.75">
      <c r="A224" s="12"/>
      <c r="B224" s="16"/>
      <c r="C224" s="87" t="s">
        <v>461</v>
      </c>
      <c r="D224" s="19"/>
      <c r="E224" s="18">
        <f>2*520000</f>
        <v>1040000</v>
      </c>
      <c r="F224" s="22">
        <f t="shared" si="16"/>
        <v>9045500</v>
      </c>
    </row>
    <row r="225" spans="1:9" ht="15.75">
      <c r="A225" s="12"/>
      <c r="B225" s="16"/>
      <c r="C225" s="87" t="s">
        <v>462</v>
      </c>
      <c r="D225" s="19"/>
      <c r="E225" s="18">
        <f>5*56000</f>
        <v>280000</v>
      </c>
      <c r="F225" s="22">
        <f t="shared" si="16"/>
        <v>8765500</v>
      </c>
    </row>
    <row r="226" spans="1:9" ht="15.75">
      <c r="A226" s="12"/>
      <c r="B226" s="16"/>
      <c r="C226" s="87" t="s">
        <v>463</v>
      </c>
      <c r="D226" s="19"/>
      <c r="E226" s="18">
        <f>2*12000</f>
        <v>24000</v>
      </c>
      <c r="F226" s="22">
        <f t="shared" si="16"/>
        <v>8741500</v>
      </c>
    </row>
    <row r="227" spans="1:9" ht="15.75">
      <c r="A227" s="12"/>
      <c r="B227" s="16"/>
      <c r="C227" s="87" t="s">
        <v>464</v>
      </c>
      <c r="D227" s="19"/>
      <c r="E227" s="18">
        <f>20*47000</f>
        <v>940000</v>
      </c>
      <c r="F227" s="22">
        <f t="shared" si="16"/>
        <v>7801500</v>
      </c>
    </row>
    <row r="228" spans="1:9" ht="15.75">
      <c r="A228" s="12"/>
      <c r="B228" s="16"/>
      <c r="C228" s="87" t="s">
        <v>406</v>
      </c>
      <c r="D228" s="19"/>
      <c r="E228" s="18">
        <f>4*10000</f>
        <v>40000</v>
      </c>
      <c r="F228" s="22">
        <f t="shared" si="16"/>
        <v>7761500</v>
      </c>
    </row>
    <row r="229" spans="1:9" ht="15.75">
      <c r="A229" s="12"/>
      <c r="B229" s="16"/>
      <c r="C229" s="87" t="s">
        <v>465</v>
      </c>
      <c r="D229" s="19"/>
      <c r="E229" s="18">
        <v>65000</v>
      </c>
      <c r="F229" s="22">
        <f t="shared" si="16"/>
        <v>7696500</v>
      </c>
    </row>
    <row r="230" spans="1:9" ht="15.75">
      <c r="A230" s="12"/>
      <c r="B230" s="16"/>
      <c r="C230" s="87" t="s">
        <v>466</v>
      </c>
      <c r="D230" s="19"/>
      <c r="E230" s="18">
        <v>10000</v>
      </c>
      <c r="F230" s="22">
        <f t="shared" si="16"/>
        <v>7686500</v>
      </c>
    </row>
    <row r="231" spans="1:9" ht="15.75">
      <c r="A231" s="12"/>
      <c r="B231" s="16"/>
      <c r="C231" s="87" t="s">
        <v>467</v>
      </c>
      <c r="D231" s="19"/>
      <c r="E231" s="18">
        <v>10000</v>
      </c>
      <c r="F231" s="22">
        <f t="shared" si="16"/>
        <v>7676500</v>
      </c>
    </row>
    <row r="232" spans="1:9" ht="15.75">
      <c r="A232" s="12"/>
      <c r="B232" s="16"/>
      <c r="C232" s="87" t="s">
        <v>468</v>
      </c>
      <c r="D232" s="19"/>
      <c r="E232" s="18">
        <f>2*7000</f>
        <v>14000</v>
      </c>
      <c r="F232" s="22">
        <f t="shared" si="16"/>
        <v>7662500</v>
      </c>
      <c r="H232" s="89">
        <f>SUM(E220:E232)</f>
        <v>4012000</v>
      </c>
    </row>
    <row r="233" spans="1:9" ht="15.75">
      <c r="A233" s="12"/>
      <c r="B233" s="16">
        <v>26</v>
      </c>
      <c r="C233" s="92" t="s">
        <v>457</v>
      </c>
      <c r="D233" s="19"/>
      <c r="E233" s="18"/>
      <c r="F233" s="22">
        <f t="shared" si="16"/>
        <v>7662500</v>
      </c>
    </row>
    <row r="234" spans="1:9" ht="15.75">
      <c r="A234" s="12"/>
      <c r="B234" s="16"/>
      <c r="C234" s="87" t="s">
        <v>469</v>
      </c>
      <c r="D234" s="19"/>
      <c r="E234" s="18">
        <f>20*56000</f>
        <v>1120000</v>
      </c>
      <c r="F234" s="22">
        <f t="shared" si="16"/>
        <v>6542500</v>
      </c>
    </row>
    <row r="235" spans="1:9" ht="15.75">
      <c r="A235" s="12"/>
      <c r="B235" s="16"/>
      <c r="C235" s="87" t="s">
        <v>470</v>
      </c>
      <c r="D235" s="19"/>
      <c r="E235" s="18">
        <f>3*15000</f>
        <v>45000</v>
      </c>
      <c r="F235" s="22">
        <f t="shared" si="16"/>
        <v>6497500</v>
      </c>
    </row>
    <row r="236" spans="1:9" ht="15.75">
      <c r="A236" s="12"/>
      <c r="B236" s="16"/>
      <c r="C236" s="87" t="s">
        <v>453</v>
      </c>
      <c r="D236" s="19"/>
      <c r="E236" s="18">
        <v>65000</v>
      </c>
      <c r="F236" s="22">
        <f t="shared" si="16"/>
        <v>6432500</v>
      </c>
    </row>
    <row r="237" spans="1:9" ht="15.75">
      <c r="A237" s="12"/>
      <c r="B237" s="16"/>
      <c r="C237" s="87" t="s">
        <v>471</v>
      </c>
      <c r="D237" s="19"/>
      <c r="E237" s="18">
        <f>4*3000</f>
        <v>12000</v>
      </c>
      <c r="F237" s="22">
        <f t="shared" si="16"/>
        <v>6420500</v>
      </c>
    </row>
    <row r="238" spans="1:9" ht="15.75">
      <c r="A238" s="12"/>
      <c r="B238" s="16"/>
      <c r="C238" s="87" t="s">
        <v>472</v>
      </c>
      <c r="D238" s="19"/>
      <c r="E238" s="18">
        <f>5*85000</f>
        <v>425000</v>
      </c>
      <c r="F238" s="22">
        <f t="shared" si="16"/>
        <v>5995500</v>
      </c>
    </row>
    <row r="239" spans="1:9" ht="15.75">
      <c r="A239" s="12"/>
      <c r="B239" s="16"/>
      <c r="C239" s="87" t="s">
        <v>473</v>
      </c>
      <c r="D239" s="19"/>
      <c r="E239" s="18">
        <f>8*30000</f>
        <v>240000</v>
      </c>
      <c r="F239" s="22">
        <f t="shared" si="16"/>
        <v>5755500</v>
      </c>
      <c r="H239" s="89">
        <f>SUM(E234:E239)</f>
        <v>1907000</v>
      </c>
      <c r="I239" s="93">
        <f>SUM(H211:H239)</f>
        <v>13034000</v>
      </c>
    </row>
    <row r="240" spans="1:9" ht="15.75">
      <c r="A240" s="20"/>
      <c r="B240" s="16"/>
      <c r="C240" s="21" t="s">
        <v>88</v>
      </c>
      <c r="D240" s="22">
        <f>SUM(D44:D239)</f>
        <v>490000000</v>
      </c>
      <c r="E240" s="22">
        <f>SUM(E44:E239)</f>
        <v>484244500</v>
      </c>
      <c r="F240" s="24">
        <f>D240-E240</f>
        <v>5755500</v>
      </c>
    </row>
    <row r="241" spans="1:6" ht="15.75">
      <c r="A241" s="82"/>
      <c r="B241" s="83"/>
      <c r="C241" s="84"/>
      <c r="D241" s="85"/>
      <c r="E241" s="85"/>
      <c r="F241" s="86"/>
    </row>
    <row r="242" spans="1:6" ht="15.75" customHeight="1">
      <c r="A242" s="113"/>
      <c r="B242" s="114"/>
      <c r="C242" s="114"/>
      <c r="D242" s="114"/>
      <c r="E242" s="114"/>
      <c r="F242" s="114"/>
    </row>
    <row r="243" spans="1:6" ht="15" customHeight="1">
      <c r="A243" s="115"/>
      <c r="B243" s="115"/>
      <c r="C243" s="115"/>
      <c r="D243" s="115"/>
      <c r="E243" s="115"/>
      <c r="F243" s="115"/>
    </row>
    <row r="244" spans="1:6" ht="15.75">
      <c r="A244" s="112"/>
      <c r="B244" s="112"/>
      <c r="C244" s="99"/>
      <c r="D244" s="100"/>
      <c r="E244" s="100"/>
      <c r="F244" s="100"/>
    </row>
    <row r="245" spans="1:6" ht="15.75">
      <c r="A245" s="101"/>
      <c r="B245" s="102"/>
      <c r="C245" s="103"/>
      <c r="D245" s="104"/>
      <c r="E245" s="104"/>
      <c r="F245" s="104"/>
    </row>
    <row r="246" spans="1:6" ht="15.75">
      <c r="A246" s="101"/>
      <c r="B246" s="105"/>
      <c r="C246" s="98"/>
      <c r="D246" s="98"/>
      <c r="E246" s="106"/>
      <c r="F246" s="107"/>
    </row>
    <row r="247" spans="1:6" ht="15.75">
      <c r="A247" s="101"/>
      <c r="B247" s="105"/>
      <c r="C247" s="98"/>
      <c r="D247" s="98"/>
      <c r="E247" s="106"/>
      <c r="F247" s="107"/>
    </row>
    <row r="248" spans="1:6" ht="15.75">
      <c r="A248" s="101"/>
      <c r="B248" s="105"/>
      <c r="C248" s="98"/>
      <c r="D248" s="98"/>
      <c r="E248" s="106"/>
      <c r="F248" s="107"/>
    </row>
    <row r="249" spans="1:6" ht="15.75">
      <c r="A249" s="101"/>
      <c r="B249" s="105"/>
      <c r="C249" s="98"/>
      <c r="D249" s="98"/>
      <c r="E249" s="106"/>
      <c r="F249" s="107"/>
    </row>
    <row r="250" spans="1:6" ht="15.75">
      <c r="A250" s="101"/>
      <c r="B250" s="105"/>
      <c r="C250" s="98"/>
      <c r="D250" s="98"/>
      <c r="E250" s="106"/>
      <c r="F250" s="107"/>
    </row>
    <row r="251" spans="1:6" ht="15.75">
      <c r="A251" s="101"/>
      <c r="B251" s="105"/>
      <c r="C251" s="98"/>
      <c r="D251" s="98"/>
      <c r="E251" s="106"/>
      <c r="F251" s="107"/>
    </row>
    <row r="252" spans="1:6" ht="15.75">
      <c r="A252" s="101"/>
      <c r="B252" s="105"/>
      <c r="C252" s="98"/>
      <c r="D252" s="98"/>
      <c r="E252" s="106"/>
      <c r="F252" s="107"/>
    </row>
    <row r="253" spans="1:6" ht="15.75">
      <c r="A253" s="101"/>
      <c r="B253" s="105"/>
      <c r="C253" s="98"/>
      <c r="D253" s="98"/>
      <c r="E253" s="106"/>
      <c r="F253" s="107"/>
    </row>
    <row r="254" spans="1:6" ht="15.75">
      <c r="A254" s="101"/>
      <c r="B254" s="105"/>
      <c r="C254" s="98"/>
      <c r="D254" s="98"/>
      <c r="E254" s="106"/>
      <c r="F254" s="107"/>
    </row>
    <row r="255" spans="1:6" ht="15.75">
      <c r="A255" s="101"/>
      <c r="B255" s="105"/>
      <c r="C255" s="98"/>
      <c r="D255" s="98"/>
      <c r="E255" s="106"/>
      <c r="F255" s="107"/>
    </row>
    <row r="256" spans="1:6" ht="15.75">
      <c r="A256" s="101"/>
      <c r="B256" s="105"/>
      <c r="C256" s="98"/>
      <c r="D256" s="98"/>
      <c r="E256" s="106"/>
      <c r="F256" s="107"/>
    </row>
    <row r="257" spans="1:12" ht="15.75">
      <c r="A257" s="101"/>
      <c r="B257" s="105"/>
      <c r="C257" s="98"/>
      <c r="D257" s="98"/>
      <c r="E257" s="106"/>
      <c r="F257" s="107"/>
    </row>
    <row r="258" spans="1:12" ht="15.75">
      <c r="A258" s="101"/>
      <c r="B258" s="105"/>
      <c r="C258" s="98"/>
      <c r="D258" s="98"/>
      <c r="E258" s="106"/>
      <c r="F258" s="107"/>
    </row>
    <row r="259" spans="1:12" ht="15.75">
      <c r="A259" s="101"/>
      <c r="B259" s="105"/>
      <c r="C259" s="98"/>
      <c r="D259" s="98"/>
      <c r="E259" s="106"/>
      <c r="F259" s="107"/>
      <c r="H259" s="89">
        <f>SUM(E247:E259)</f>
        <v>0</v>
      </c>
    </row>
    <row r="260" spans="1:12" ht="15.75">
      <c r="A260" s="101"/>
      <c r="B260" s="105"/>
      <c r="C260" s="98"/>
      <c r="D260" s="98"/>
      <c r="E260" s="106"/>
      <c r="F260" s="107"/>
    </row>
    <row r="261" spans="1:12" ht="15.75">
      <c r="A261" s="101"/>
      <c r="B261" s="105"/>
      <c r="C261" s="98"/>
      <c r="D261" s="98"/>
      <c r="E261" s="106"/>
      <c r="F261" s="107"/>
    </row>
    <row r="262" spans="1:12" ht="15.75">
      <c r="A262" s="108"/>
      <c r="B262" s="105"/>
      <c r="C262" s="98"/>
      <c r="D262" s="98"/>
      <c r="E262" s="106"/>
      <c r="F262" s="107"/>
      <c r="I262" s="93"/>
    </row>
    <row r="263" spans="1:12" ht="15.75">
      <c r="A263" s="108"/>
      <c r="B263" s="105"/>
      <c r="C263" s="98"/>
      <c r="D263" s="98"/>
      <c r="E263" s="106"/>
      <c r="F263" s="107"/>
    </row>
    <row r="264" spans="1:12" ht="15.75">
      <c r="A264" s="108"/>
      <c r="B264" s="105"/>
      <c r="C264" s="98"/>
      <c r="D264" s="98"/>
      <c r="E264" s="106"/>
      <c r="F264" s="107"/>
    </row>
    <row r="265" spans="1:12" ht="15.75">
      <c r="A265" s="108"/>
      <c r="B265" s="105"/>
      <c r="C265" s="98"/>
      <c r="D265" s="98"/>
      <c r="E265" s="106"/>
      <c r="F265" s="107"/>
    </row>
    <row r="266" spans="1:12" ht="15.75">
      <c r="A266" s="108"/>
      <c r="B266" s="105"/>
      <c r="C266" s="98"/>
      <c r="D266" s="98"/>
      <c r="E266" s="106"/>
      <c r="F266" s="107"/>
    </row>
    <row r="267" spans="1:12" ht="15.75">
      <c r="A267" s="108"/>
      <c r="B267" s="105"/>
      <c r="C267" s="98"/>
      <c r="D267" s="98"/>
      <c r="E267" s="106"/>
      <c r="F267" s="107"/>
    </row>
    <row r="268" spans="1:12" ht="15.75">
      <c r="A268" s="108"/>
      <c r="B268" s="105"/>
      <c r="C268" s="98"/>
      <c r="D268" s="98"/>
      <c r="E268" s="106"/>
      <c r="F268" s="107"/>
    </row>
    <row r="269" spans="1:12" s="77" customFormat="1" ht="15.75">
      <c r="A269" s="109"/>
      <c r="B269" s="105"/>
      <c r="C269" s="98"/>
      <c r="D269" s="98"/>
      <c r="E269" s="106"/>
      <c r="F269" s="107"/>
      <c r="H269" s="79"/>
      <c r="J269" s="78"/>
      <c r="K269" s="78"/>
      <c r="L269" s="79"/>
    </row>
    <row r="270" spans="1:12" ht="15.75">
      <c r="A270" s="108"/>
      <c r="B270" s="105"/>
      <c r="C270" s="98"/>
      <c r="D270" s="98"/>
      <c r="E270" s="106"/>
      <c r="F270" s="107"/>
    </row>
    <row r="271" spans="1:12" ht="15.75">
      <c r="A271" s="108"/>
      <c r="B271" s="105"/>
      <c r="C271" s="98"/>
      <c r="D271" s="98"/>
      <c r="E271" s="106"/>
      <c r="F271" s="107"/>
    </row>
    <row r="272" spans="1:12" ht="15.75">
      <c r="A272" s="108"/>
      <c r="B272" s="105"/>
      <c r="C272" s="98"/>
      <c r="D272" s="98"/>
      <c r="E272" s="106"/>
      <c r="F272" s="107"/>
    </row>
    <row r="273" spans="1:6" ht="15.75">
      <c r="A273" s="108"/>
      <c r="B273" s="105"/>
      <c r="C273" s="98"/>
      <c r="D273" s="98"/>
      <c r="E273" s="106"/>
      <c r="F273" s="107"/>
    </row>
    <row r="274" spans="1:6" ht="15.75">
      <c r="A274" s="108"/>
      <c r="B274" s="105"/>
      <c r="C274" s="98"/>
      <c r="D274" s="98"/>
      <c r="E274" s="106"/>
      <c r="F274" s="107"/>
    </row>
    <row r="275" spans="1:6" ht="15.75">
      <c r="A275" s="108"/>
      <c r="B275" s="105"/>
      <c r="C275" s="98"/>
      <c r="D275" s="98"/>
      <c r="E275" s="106"/>
      <c r="F275" s="107"/>
    </row>
    <row r="276" spans="1:6" ht="15.75">
      <c r="A276" s="108"/>
      <c r="B276" s="105"/>
      <c r="C276" s="98"/>
      <c r="D276" s="98"/>
      <c r="E276" s="106"/>
      <c r="F276" s="107"/>
    </row>
    <row r="277" spans="1:6" ht="15.75">
      <c r="A277" s="108"/>
      <c r="B277" s="105"/>
      <c r="C277" s="98"/>
      <c r="D277" s="98"/>
      <c r="E277" s="106"/>
      <c r="F277" s="107"/>
    </row>
    <row r="278" spans="1:6" ht="15.75">
      <c r="A278" s="108"/>
      <c r="B278" s="105"/>
      <c r="C278" s="98"/>
      <c r="D278" s="98"/>
      <c r="E278" s="106"/>
      <c r="F278" s="107"/>
    </row>
    <row r="279" spans="1:6" ht="15.75">
      <c r="A279" s="108"/>
      <c r="B279" s="105"/>
      <c r="C279" s="98"/>
      <c r="D279" s="98"/>
      <c r="E279" s="106"/>
      <c r="F279" s="107"/>
    </row>
    <row r="280" spans="1:6" ht="15.75">
      <c r="A280" s="108"/>
      <c r="B280" s="105"/>
      <c r="C280" s="98"/>
      <c r="D280" s="98"/>
      <c r="E280" s="106"/>
      <c r="F280" s="107"/>
    </row>
    <row r="281" spans="1:6" ht="15.75">
      <c r="A281" s="108"/>
      <c r="B281" s="105"/>
      <c r="C281" s="98"/>
      <c r="D281" s="98"/>
      <c r="E281" s="106"/>
      <c r="F281" s="107"/>
    </row>
    <row r="282" spans="1:6" ht="15.75">
      <c r="A282" s="108"/>
      <c r="B282" s="105"/>
      <c r="C282" s="98"/>
      <c r="D282" s="98"/>
      <c r="E282" s="106"/>
      <c r="F282" s="107"/>
    </row>
    <row r="283" spans="1:6" ht="15.75">
      <c r="A283" s="108"/>
      <c r="B283" s="105"/>
      <c r="C283" s="98"/>
      <c r="D283" s="98"/>
      <c r="E283" s="106"/>
      <c r="F283" s="107"/>
    </row>
    <row r="284" spans="1:6" ht="15.75">
      <c r="A284" s="108"/>
      <c r="B284" s="105"/>
      <c r="C284" s="98"/>
      <c r="D284" s="98"/>
      <c r="E284" s="106"/>
      <c r="F284" s="107"/>
    </row>
    <row r="285" spans="1:6" ht="15.75">
      <c r="A285" s="108"/>
      <c r="B285" s="105"/>
      <c r="C285" s="98"/>
      <c r="D285" s="98"/>
      <c r="E285" s="106"/>
      <c r="F285" s="107"/>
    </row>
    <row r="286" spans="1:6" ht="15.75">
      <c r="A286" s="108"/>
      <c r="B286" s="105"/>
      <c r="C286" s="98"/>
      <c r="D286" s="98"/>
      <c r="E286" s="106"/>
      <c r="F286" s="107"/>
    </row>
    <row r="287" spans="1:6" ht="15.75">
      <c r="A287" s="108"/>
      <c r="B287" s="105"/>
      <c r="C287" s="98"/>
      <c r="D287" s="98"/>
      <c r="E287" s="106"/>
      <c r="F287" s="107"/>
    </row>
    <row r="288" spans="1:6" ht="15.75">
      <c r="A288" s="108"/>
      <c r="B288" s="105"/>
      <c r="C288" s="98"/>
      <c r="D288" s="98"/>
      <c r="E288" s="106"/>
      <c r="F288" s="107"/>
    </row>
    <row r="289" spans="1:9" ht="15.75">
      <c r="A289" s="108"/>
      <c r="B289" s="105"/>
      <c r="C289" s="98"/>
      <c r="D289" s="98"/>
      <c r="E289" s="106"/>
      <c r="F289" s="107"/>
    </row>
    <row r="290" spans="1:9" ht="15.75">
      <c r="A290" s="108"/>
      <c r="B290" s="105"/>
      <c r="C290" s="98"/>
      <c r="D290" s="98"/>
      <c r="E290" s="106"/>
      <c r="F290" s="107"/>
    </row>
    <row r="291" spans="1:9" ht="15.75">
      <c r="A291" s="108"/>
      <c r="B291" s="105"/>
      <c r="C291" s="98"/>
      <c r="D291" s="98"/>
      <c r="E291" s="106"/>
      <c r="F291" s="107"/>
    </row>
    <row r="292" spans="1:9" ht="15.75">
      <c r="A292" s="108"/>
      <c r="B292" s="105"/>
      <c r="C292" s="98"/>
      <c r="D292" s="98"/>
      <c r="E292" s="106"/>
      <c r="F292" s="107"/>
    </row>
    <row r="293" spans="1:9" ht="15.75">
      <c r="A293" s="108"/>
      <c r="B293" s="105"/>
      <c r="C293" s="98"/>
      <c r="D293" s="98"/>
      <c r="E293" s="106"/>
      <c r="F293" s="107"/>
    </row>
    <row r="294" spans="1:9" ht="15.75">
      <c r="A294" s="108"/>
      <c r="B294" s="105"/>
      <c r="C294" s="98"/>
      <c r="D294" s="98"/>
      <c r="E294" s="106"/>
      <c r="F294" s="107"/>
    </row>
    <row r="295" spans="1:9" ht="15.75">
      <c r="A295" s="108"/>
      <c r="B295" s="105"/>
      <c r="C295" s="98"/>
      <c r="D295" s="98"/>
      <c r="E295" s="106"/>
      <c r="F295" s="107"/>
    </row>
    <row r="296" spans="1:9" ht="15.75">
      <c r="A296" s="108"/>
      <c r="B296" s="105"/>
      <c r="C296" s="98"/>
      <c r="D296" s="98"/>
      <c r="E296" s="106"/>
      <c r="F296" s="107"/>
    </row>
    <row r="297" spans="1:9" ht="15.75">
      <c r="A297" s="108"/>
      <c r="B297" s="105"/>
      <c r="C297" s="98"/>
      <c r="D297" s="98"/>
      <c r="E297" s="106"/>
      <c r="F297" s="107"/>
    </row>
    <row r="298" spans="1:9" ht="15.75">
      <c r="A298" s="108"/>
      <c r="B298" s="105"/>
      <c r="C298" s="98"/>
      <c r="D298" s="98"/>
      <c r="E298" s="106"/>
      <c r="F298" s="107"/>
    </row>
    <row r="299" spans="1:9" ht="15.75">
      <c r="A299" s="108"/>
      <c r="B299" s="105"/>
      <c r="C299" s="98"/>
      <c r="D299" s="98"/>
      <c r="E299" s="106"/>
      <c r="F299" s="107"/>
    </row>
    <row r="300" spans="1:9" ht="15.75">
      <c r="A300" s="108"/>
      <c r="B300" s="105"/>
      <c r="C300" s="98"/>
      <c r="D300" s="98"/>
      <c r="E300" s="106"/>
      <c r="F300" s="107"/>
    </row>
    <row r="301" spans="1:9" ht="15.75">
      <c r="A301" s="108"/>
      <c r="B301" s="105"/>
      <c r="C301" s="98"/>
      <c r="D301" s="98"/>
      <c r="E301" s="106"/>
      <c r="F301" s="107"/>
    </row>
    <row r="302" spans="1:9" ht="15.75">
      <c r="A302" s="108"/>
      <c r="B302" s="105"/>
      <c r="C302" s="98"/>
      <c r="D302" s="98"/>
      <c r="E302" s="106"/>
      <c r="F302" s="107"/>
    </row>
    <row r="303" spans="1:9" ht="15.75">
      <c r="A303" s="108"/>
      <c r="B303" s="105"/>
      <c r="C303" s="98"/>
      <c r="D303" s="98"/>
      <c r="E303" s="106"/>
      <c r="F303" s="107"/>
    </row>
    <row r="304" spans="1:9" ht="15.75">
      <c r="A304" s="108"/>
      <c r="B304" s="105"/>
      <c r="C304" s="98"/>
      <c r="D304" s="98"/>
      <c r="E304" s="106"/>
      <c r="F304" s="107"/>
      <c r="H304" s="89">
        <f>SUM(E299:E304)</f>
        <v>0</v>
      </c>
      <c r="I304" s="93">
        <f>SUM(H276:H304)</f>
        <v>0</v>
      </c>
    </row>
    <row r="305" spans="1:8" ht="15.75">
      <c r="A305" s="108"/>
      <c r="B305" s="105"/>
      <c r="C305" s="98"/>
      <c r="D305" s="98"/>
      <c r="E305" s="106"/>
      <c r="F305" s="107"/>
      <c r="H305"/>
    </row>
    <row r="306" spans="1:8" ht="15.75">
      <c r="A306" s="110"/>
      <c r="B306" s="105"/>
      <c r="C306" s="111"/>
      <c r="D306" s="107"/>
      <c r="E306" s="107"/>
      <c r="F306" s="107"/>
      <c r="H306"/>
    </row>
  </sheetData>
  <mergeCells count="2">
    <mergeCell ref="A1:B1"/>
    <mergeCell ref="A43:B43"/>
  </mergeCells>
  <pageMargins left="0.75" right="0.75" top="1" bottom="1" header="0.5" footer="0.5"/>
  <ignoredErrors>
    <ignoredError sqref="E22 E30" formula="1"/>
    <ignoredError sqref="H14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BD4E-A8E5-4B6E-AFC9-6C9B1B80D914}">
  <dimension ref="A1:L77"/>
  <sheetViews>
    <sheetView tabSelected="1" zoomScale="104" zoomScaleNormal="100" workbookViewId="0">
      <selection activeCell="H9" sqref="H9"/>
    </sheetView>
  </sheetViews>
  <sheetFormatPr defaultColWidth="11.7109375" defaultRowHeight="15"/>
  <cols>
    <col min="1" max="1" width="13.28515625" customWidth="1"/>
    <col min="2" max="2" width="4" customWidth="1"/>
    <col min="3" max="3" width="75.28515625" customWidth="1"/>
    <col min="4" max="6" width="20" customWidth="1"/>
    <col min="7" max="7" width="17.140625" customWidth="1"/>
    <col min="8" max="8" width="17.42578125" style="89" customWidth="1"/>
    <col min="9" max="9" width="16.7109375" customWidth="1"/>
    <col min="10" max="10" width="15" customWidth="1"/>
  </cols>
  <sheetData>
    <row r="1" spans="1:8" s="1" customFormat="1" ht="26.1" customHeight="1">
      <c r="A1" s="94" t="s">
        <v>0</v>
      </c>
      <c r="B1" s="94"/>
      <c r="C1" s="6" t="s">
        <v>1</v>
      </c>
      <c r="D1" s="7" t="s">
        <v>2</v>
      </c>
      <c r="E1" s="7" t="s">
        <v>3</v>
      </c>
      <c r="F1" s="7" t="s">
        <v>4</v>
      </c>
      <c r="H1" s="90"/>
    </row>
    <row r="2" spans="1:8" s="1" customFormat="1" ht="15.75">
      <c r="A2" s="8">
        <v>2025</v>
      </c>
      <c r="B2" s="9"/>
      <c r="C2" s="10" t="s">
        <v>5</v>
      </c>
      <c r="D2" s="11"/>
      <c r="E2" s="14"/>
      <c r="F2" s="11"/>
      <c r="H2" s="90"/>
    </row>
    <row r="3" spans="1:8" s="2" customFormat="1" ht="15.75">
      <c r="A3" s="12" t="s">
        <v>474</v>
      </c>
      <c r="B3" s="9">
        <v>1</v>
      </c>
      <c r="C3" s="13" t="s">
        <v>362</v>
      </c>
      <c r="D3" s="14">
        <v>6000000</v>
      </c>
      <c r="E3" s="14"/>
      <c r="F3" s="11"/>
      <c r="H3" s="60"/>
    </row>
    <row r="4" spans="1:8" s="2" customFormat="1" ht="15.75">
      <c r="A4" s="12"/>
      <c r="B4" s="9"/>
      <c r="C4" s="10" t="s">
        <v>9</v>
      </c>
      <c r="D4" s="14"/>
      <c r="E4" s="14"/>
      <c r="F4" s="22">
        <f>SUM(D3:D3)</f>
        <v>6000000</v>
      </c>
      <c r="H4" s="60"/>
    </row>
    <row r="5" spans="1:8" s="2" customFormat="1" ht="15.75">
      <c r="A5" s="12"/>
      <c r="B5" s="9"/>
      <c r="C5" s="15"/>
      <c r="D5" s="14"/>
      <c r="E5" s="14"/>
      <c r="F5" s="22"/>
      <c r="H5" s="60"/>
    </row>
    <row r="6" spans="1:8" s="2" customFormat="1" ht="15.75">
      <c r="A6" s="12"/>
      <c r="B6" s="9"/>
      <c r="C6" s="10" t="s">
        <v>10</v>
      </c>
      <c r="D6" s="14"/>
      <c r="E6" s="14"/>
      <c r="F6" s="22"/>
      <c r="H6" s="60"/>
    </row>
    <row r="7" spans="1:8" s="2" customFormat="1" ht="15.75">
      <c r="A7" s="12" t="s">
        <v>474</v>
      </c>
      <c r="B7" s="16"/>
      <c r="C7" s="41" t="s">
        <v>87</v>
      </c>
      <c r="D7" s="22">
        <f>'OKT-1'!D240</f>
        <v>490000000</v>
      </c>
      <c r="E7" s="22">
        <f>'OKT-1'!E240</f>
        <v>484244500</v>
      </c>
      <c r="F7" s="22">
        <f>D7-E7</f>
        <v>5755500</v>
      </c>
      <c r="H7" s="60"/>
    </row>
    <row r="8" spans="1:8" s="2" customFormat="1" ht="15.75">
      <c r="A8" s="12"/>
      <c r="B8" s="16"/>
      <c r="C8" s="41"/>
      <c r="D8" s="22"/>
      <c r="E8" s="22"/>
      <c r="F8" s="22">
        <f>F4+F7+D8-E8</f>
        <v>11755500</v>
      </c>
      <c r="H8" s="60"/>
    </row>
    <row r="9" spans="1:8" s="2" customFormat="1" ht="15.75">
      <c r="A9" s="12"/>
      <c r="B9" s="16"/>
      <c r="C9" s="61"/>
      <c r="D9" s="19"/>
      <c r="E9" s="18"/>
      <c r="F9" s="22">
        <f>F5+F8+D9-E9</f>
        <v>11755500</v>
      </c>
      <c r="H9" s="60"/>
    </row>
    <row r="10" spans="1:8" s="46" customFormat="1" ht="18.75">
      <c r="A10" s="43"/>
      <c r="B10" s="44"/>
      <c r="C10" s="21" t="s">
        <v>88</v>
      </c>
      <c r="D10" s="45">
        <f>SUM(D2:D9)</f>
        <v>496000000</v>
      </c>
      <c r="E10" s="45">
        <f>SUM(E2:E9)</f>
        <v>484244500</v>
      </c>
      <c r="F10" s="47">
        <f>D10-E10</f>
        <v>11755500</v>
      </c>
      <c r="H10" s="91"/>
    </row>
    <row r="11" spans="1:8" s="2" customFormat="1" ht="15.75">
      <c r="A11" s="5"/>
      <c r="B11" s="5"/>
      <c r="C11" s="5"/>
      <c r="D11" s="5"/>
      <c r="E11" s="5"/>
      <c r="F11" s="5"/>
      <c r="H11" s="60"/>
    </row>
    <row r="12" spans="1:8" ht="15.75">
      <c r="A12" s="82"/>
      <c r="B12" s="83"/>
      <c r="C12" s="84"/>
      <c r="D12" s="85"/>
      <c r="E12" s="85"/>
      <c r="F12" s="86"/>
    </row>
    <row r="13" spans="1:8" ht="15.75" customHeight="1">
      <c r="A13" s="116"/>
      <c r="B13" s="117"/>
      <c r="C13" s="117"/>
      <c r="D13" s="117"/>
      <c r="E13" s="117"/>
      <c r="F13" s="117"/>
    </row>
    <row r="14" spans="1:8">
      <c r="A14" s="118"/>
      <c r="B14" s="118"/>
      <c r="C14" s="118"/>
      <c r="D14" s="118"/>
      <c r="E14" s="118"/>
      <c r="F14" s="118"/>
    </row>
    <row r="15" spans="1:8" ht="15.75">
      <c r="A15" s="94" t="s">
        <v>0</v>
      </c>
      <c r="B15" s="94"/>
      <c r="C15" s="6" t="s">
        <v>1</v>
      </c>
      <c r="D15" s="7" t="s">
        <v>2</v>
      </c>
      <c r="E15" s="7" t="s">
        <v>3</v>
      </c>
      <c r="F15" s="7" t="s">
        <v>4</v>
      </c>
    </row>
    <row r="16" spans="1:8" ht="15.75">
      <c r="A16" s="8">
        <v>2025</v>
      </c>
      <c r="B16" s="9"/>
      <c r="C16" s="10" t="s">
        <v>87</v>
      </c>
      <c r="D16" s="11">
        <f>D10</f>
        <v>496000000</v>
      </c>
      <c r="E16" s="11">
        <f>E10</f>
        <v>484244500</v>
      </c>
      <c r="F16" s="11">
        <f>F10</f>
        <v>11755500</v>
      </c>
    </row>
    <row r="17" spans="1:6" ht="15.75">
      <c r="A17" s="8"/>
      <c r="B17" s="16"/>
      <c r="C17" s="87"/>
      <c r="D17" s="19"/>
      <c r="E17" s="18"/>
      <c r="F17" s="22">
        <f t="shared" ref="F17:F76" si="0">F16+D17-E17</f>
        <v>11755500</v>
      </c>
    </row>
    <row r="18" spans="1:6" ht="15.75">
      <c r="A18" s="8"/>
      <c r="B18" s="16"/>
      <c r="C18" s="87"/>
      <c r="D18" s="19"/>
      <c r="E18" s="18"/>
      <c r="F18" s="22">
        <f t="shared" si="0"/>
        <v>11755500</v>
      </c>
    </row>
    <row r="19" spans="1:6" ht="15.75">
      <c r="A19" s="8"/>
      <c r="B19" s="16"/>
      <c r="C19" s="87"/>
      <c r="D19" s="19"/>
      <c r="E19" s="18"/>
      <c r="F19" s="22">
        <f t="shared" si="0"/>
        <v>11755500</v>
      </c>
    </row>
    <row r="20" spans="1:6" ht="15.75">
      <c r="A20" s="8"/>
      <c r="B20" s="16"/>
      <c r="C20" s="87"/>
      <c r="D20" s="19"/>
      <c r="E20" s="18"/>
      <c r="F20" s="22">
        <f t="shared" si="0"/>
        <v>11755500</v>
      </c>
    </row>
    <row r="21" spans="1:6" ht="15.75">
      <c r="A21" s="8"/>
      <c r="B21" s="16"/>
      <c r="C21" s="87"/>
      <c r="D21" s="19"/>
      <c r="E21" s="18"/>
      <c r="F21" s="22">
        <f t="shared" si="0"/>
        <v>11755500</v>
      </c>
    </row>
    <row r="22" spans="1:6" ht="15.75">
      <c r="A22" s="8"/>
      <c r="B22" s="16"/>
      <c r="C22" s="87"/>
      <c r="D22" s="19"/>
      <c r="E22" s="18"/>
      <c r="F22" s="22">
        <f t="shared" si="0"/>
        <v>11755500</v>
      </c>
    </row>
    <row r="23" spans="1:6" ht="15.75">
      <c r="A23" s="8"/>
      <c r="B23" s="16"/>
      <c r="C23" s="87"/>
      <c r="D23" s="19"/>
      <c r="E23" s="18"/>
      <c r="F23" s="22">
        <f t="shared" si="0"/>
        <v>11755500</v>
      </c>
    </row>
    <row r="24" spans="1:6" ht="15.75">
      <c r="A24" s="8"/>
      <c r="B24" s="16"/>
      <c r="C24" s="87"/>
      <c r="D24" s="19"/>
      <c r="E24" s="18"/>
      <c r="F24" s="22">
        <f t="shared" si="0"/>
        <v>11755500</v>
      </c>
    </row>
    <row r="25" spans="1:6" ht="15.75">
      <c r="A25" s="8"/>
      <c r="B25" s="16"/>
      <c r="C25" s="87"/>
      <c r="D25" s="19"/>
      <c r="E25" s="18"/>
      <c r="F25" s="22">
        <f t="shared" si="0"/>
        <v>11755500</v>
      </c>
    </row>
    <row r="26" spans="1:6" ht="15.75">
      <c r="A26" s="8"/>
      <c r="B26" s="16"/>
      <c r="C26" s="87"/>
      <c r="D26" s="19"/>
      <c r="E26" s="18"/>
      <c r="F26" s="22">
        <f t="shared" si="0"/>
        <v>11755500</v>
      </c>
    </row>
    <row r="27" spans="1:6" ht="15.75">
      <c r="A27" s="8"/>
      <c r="B27" s="16"/>
      <c r="C27" s="87"/>
      <c r="D27" s="19"/>
      <c r="E27" s="18"/>
      <c r="F27" s="22">
        <f t="shared" si="0"/>
        <v>11755500</v>
      </c>
    </row>
    <row r="28" spans="1:6" ht="15.75">
      <c r="A28" s="8"/>
      <c r="B28" s="16"/>
      <c r="C28" s="87"/>
      <c r="D28" s="19"/>
      <c r="E28" s="18"/>
      <c r="F28" s="22">
        <f t="shared" si="0"/>
        <v>11755500</v>
      </c>
    </row>
    <row r="29" spans="1:6" ht="15.75">
      <c r="A29" s="8"/>
      <c r="B29" s="16"/>
      <c r="C29" s="87"/>
      <c r="D29" s="19"/>
      <c r="E29" s="18"/>
      <c r="F29" s="22">
        <f t="shared" si="0"/>
        <v>11755500</v>
      </c>
    </row>
    <row r="30" spans="1:6" ht="15.75">
      <c r="A30" s="8"/>
      <c r="B30" s="16"/>
      <c r="C30" s="87"/>
      <c r="D30" s="19"/>
      <c r="E30" s="18"/>
      <c r="F30" s="22">
        <f t="shared" si="0"/>
        <v>11755500</v>
      </c>
    </row>
    <row r="31" spans="1:6" ht="15.75">
      <c r="A31" s="8"/>
      <c r="B31" s="16"/>
      <c r="C31" s="88"/>
      <c r="D31" s="19"/>
      <c r="E31" s="18"/>
      <c r="F31" s="22">
        <f t="shared" si="0"/>
        <v>11755500</v>
      </c>
    </row>
    <row r="32" spans="1:6" ht="15.75">
      <c r="A32" s="8"/>
      <c r="B32" s="16"/>
      <c r="C32" s="92"/>
      <c r="D32" s="19"/>
      <c r="E32" s="18"/>
      <c r="F32" s="22">
        <f t="shared" si="0"/>
        <v>11755500</v>
      </c>
    </row>
    <row r="33" spans="1:12" ht="15.75">
      <c r="A33" s="12"/>
      <c r="B33" s="16"/>
      <c r="C33" s="87"/>
      <c r="D33" s="19"/>
      <c r="E33" s="18"/>
      <c r="F33" s="22">
        <f t="shared" si="0"/>
        <v>11755500</v>
      </c>
      <c r="I33" s="93"/>
    </row>
    <row r="34" spans="1:12" ht="15.75">
      <c r="A34" s="12"/>
      <c r="B34" s="16"/>
      <c r="C34" s="92"/>
      <c r="D34" s="19"/>
      <c r="E34" s="18"/>
      <c r="F34" s="22">
        <f t="shared" si="0"/>
        <v>11755500</v>
      </c>
    </row>
    <row r="35" spans="1:12" ht="15.75">
      <c r="A35" s="12"/>
      <c r="B35" s="16"/>
      <c r="C35" s="87"/>
      <c r="D35" s="19"/>
      <c r="E35" s="18"/>
      <c r="F35" s="22">
        <f t="shared" si="0"/>
        <v>11755500</v>
      </c>
    </row>
    <row r="36" spans="1:12" ht="15.75">
      <c r="A36" s="12"/>
      <c r="B36" s="16"/>
      <c r="C36" s="87"/>
      <c r="D36" s="19"/>
      <c r="E36" s="18"/>
      <c r="F36" s="22">
        <f t="shared" si="0"/>
        <v>11755500</v>
      </c>
    </row>
    <row r="37" spans="1:12" ht="15.75">
      <c r="A37" s="12"/>
      <c r="B37" s="16"/>
      <c r="C37" s="87"/>
      <c r="D37" s="19"/>
      <c r="E37" s="18"/>
      <c r="F37" s="22">
        <f t="shared" si="0"/>
        <v>11755500</v>
      </c>
    </row>
    <row r="38" spans="1:12" ht="15.75">
      <c r="A38" s="12"/>
      <c r="B38" s="16"/>
      <c r="C38" s="87"/>
      <c r="D38" s="19"/>
      <c r="E38" s="18"/>
      <c r="F38" s="22">
        <f t="shared" si="0"/>
        <v>11755500</v>
      </c>
    </row>
    <row r="39" spans="1:12" ht="15.75">
      <c r="A39" s="12"/>
      <c r="B39" s="16"/>
      <c r="C39" s="87"/>
      <c r="D39" s="19"/>
      <c r="E39" s="18"/>
      <c r="F39" s="22">
        <f t="shared" si="0"/>
        <v>11755500</v>
      </c>
    </row>
    <row r="40" spans="1:12" s="77" customFormat="1" ht="15.75">
      <c r="A40" s="73"/>
      <c r="B40" s="16"/>
      <c r="C40" s="87"/>
      <c r="D40" s="19"/>
      <c r="E40" s="18"/>
      <c r="F40" s="22">
        <f t="shared" si="0"/>
        <v>11755500</v>
      </c>
      <c r="H40" s="79"/>
      <c r="J40" s="78"/>
      <c r="K40" s="78"/>
      <c r="L40" s="79"/>
    </row>
    <row r="41" spans="1:12" ht="15.75">
      <c r="A41" s="12"/>
      <c r="B41" s="16"/>
      <c r="C41" s="87"/>
      <c r="D41" s="19"/>
      <c r="E41" s="18"/>
      <c r="F41" s="22">
        <f t="shared" si="0"/>
        <v>11755500</v>
      </c>
    </row>
    <row r="42" spans="1:12" ht="15.75">
      <c r="A42" s="12"/>
      <c r="B42" s="16"/>
      <c r="C42" s="87"/>
      <c r="D42" s="19"/>
      <c r="E42" s="18"/>
      <c r="F42" s="22">
        <f t="shared" si="0"/>
        <v>11755500</v>
      </c>
    </row>
    <row r="43" spans="1:12" ht="15.75">
      <c r="A43" s="12"/>
      <c r="B43" s="16"/>
      <c r="C43" s="87"/>
      <c r="D43" s="19"/>
      <c r="E43" s="18"/>
      <c r="F43" s="22">
        <f t="shared" si="0"/>
        <v>11755500</v>
      </c>
    </row>
    <row r="44" spans="1:12" ht="15.75">
      <c r="A44" s="12"/>
      <c r="B44" s="16"/>
      <c r="C44" s="87"/>
      <c r="D44" s="19"/>
      <c r="E44" s="18"/>
      <c r="F44" s="22">
        <f t="shared" si="0"/>
        <v>11755500</v>
      </c>
    </row>
    <row r="45" spans="1:12" ht="15.75">
      <c r="A45" s="12"/>
      <c r="B45" s="16"/>
      <c r="C45" s="87"/>
      <c r="D45" s="19"/>
      <c r="E45" s="18"/>
      <c r="F45" s="22">
        <f t="shared" si="0"/>
        <v>11755500</v>
      </c>
    </row>
    <row r="46" spans="1:12" ht="15.75">
      <c r="A46" s="12"/>
      <c r="B46" s="16"/>
      <c r="C46" s="87"/>
      <c r="D46" s="19"/>
      <c r="E46" s="18"/>
      <c r="F46" s="22">
        <f t="shared" si="0"/>
        <v>11755500</v>
      </c>
    </row>
    <row r="47" spans="1:12" ht="15.75">
      <c r="A47" s="12"/>
      <c r="B47" s="16"/>
      <c r="C47" s="87"/>
      <c r="D47" s="19"/>
      <c r="E47" s="18"/>
      <c r="F47" s="22">
        <f t="shared" si="0"/>
        <v>11755500</v>
      </c>
    </row>
    <row r="48" spans="1:12" ht="15.75">
      <c r="A48" s="12"/>
      <c r="B48" s="16"/>
      <c r="C48" s="92"/>
      <c r="D48" s="19"/>
      <c r="E48" s="18"/>
      <c r="F48" s="22">
        <f t="shared" si="0"/>
        <v>11755500</v>
      </c>
    </row>
    <row r="49" spans="1:6" ht="15.75">
      <c r="A49" s="12"/>
      <c r="B49" s="16"/>
      <c r="C49" s="87"/>
      <c r="D49" s="19"/>
      <c r="E49" s="18"/>
      <c r="F49" s="22">
        <f t="shared" si="0"/>
        <v>11755500</v>
      </c>
    </row>
    <row r="50" spans="1:6" ht="15.75">
      <c r="A50" s="12"/>
      <c r="B50" s="16"/>
      <c r="C50" s="87"/>
      <c r="D50" s="19"/>
      <c r="E50" s="18"/>
      <c r="F50" s="22">
        <f t="shared" si="0"/>
        <v>11755500</v>
      </c>
    </row>
    <row r="51" spans="1:6" ht="15.75">
      <c r="A51" s="12"/>
      <c r="B51" s="16"/>
      <c r="C51" s="87"/>
      <c r="D51" s="19"/>
      <c r="E51" s="18"/>
      <c r="F51" s="22">
        <f t="shared" si="0"/>
        <v>11755500</v>
      </c>
    </row>
    <row r="52" spans="1:6" ht="15.75">
      <c r="A52" s="12"/>
      <c r="B52" s="16"/>
      <c r="C52" s="87"/>
      <c r="D52" s="19"/>
      <c r="E52" s="18"/>
      <c r="F52" s="22">
        <f t="shared" si="0"/>
        <v>11755500</v>
      </c>
    </row>
    <row r="53" spans="1:6" ht="15.75">
      <c r="A53" s="12"/>
      <c r="B53" s="16"/>
      <c r="C53" s="87"/>
      <c r="D53" s="19"/>
      <c r="E53" s="18"/>
      <c r="F53" s="22">
        <f t="shared" si="0"/>
        <v>11755500</v>
      </c>
    </row>
    <row r="54" spans="1:6" ht="15.75">
      <c r="A54" s="12"/>
      <c r="B54" s="16"/>
      <c r="C54" s="87"/>
      <c r="D54" s="19"/>
      <c r="E54" s="18"/>
      <c r="F54" s="22">
        <f t="shared" si="0"/>
        <v>11755500</v>
      </c>
    </row>
    <row r="55" spans="1:6" ht="15.75">
      <c r="A55" s="12"/>
      <c r="B55" s="16"/>
      <c r="C55" s="92"/>
      <c r="D55" s="19"/>
      <c r="E55" s="18"/>
      <c r="F55" s="22">
        <f t="shared" si="0"/>
        <v>11755500</v>
      </c>
    </row>
    <row r="56" spans="1:6" ht="15.75">
      <c r="A56" s="12"/>
      <c r="B56" s="16"/>
      <c r="C56" s="87"/>
      <c r="D56" s="19"/>
      <c r="E56" s="18"/>
      <c r="F56" s="22">
        <f t="shared" si="0"/>
        <v>11755500</v>
      </c>
    </row>
    <row r="57" spans="1:6" ht="15.75">
      <c r="A57" s="12"/>
      <c r="B57" s="16"/>
      <c r="C57" s="87"/>
      <c r="D57" s="19"/>
      <c r="E57" s="18"/>
      <c r="F57" s="22">
        <f t="shared" si="0"/>
        <v>11755500</v>
      </c>
    </row>
    <row r="58" spans="1:6" ht="15.75">
      <c r="A58" s="12"/>
      <c r="B58" s="16"/>
      <c r="C58" s="87"/>
      <c r="D58" s="19"/>
      <c r="E58" s="18"/>
      <c r="F58" s="22">
        <f t="shared" si="0"/>
        <v>11755500</v>
      </c>
    </row>
    <row r="59" spans="1:6" ht="15.75">
      <c r="A59" s="12"/>
      <c r="B59" s="16"/>
      <c r="C59" s="87"/>
      <c r="D59" s="19"/>
      <c r="E59" s="18"/>
      <c r="F59" s="22">
        <f t="shared" si="0"/>
        <v>11755500</v>
      </c>
    </row>
    <row r="60" spans="1:6" ht="15.75">
      <c r="A60" s="12"/>
      <c r="B60" s="16"/>
      <c r="C60" s="87"/>
      <c r="D60" s="19"/>
      <c r="E60" s="18"/>
      <c r="F60" s="22">
        <f t="shared" si="0"/>
        <v>11755500</v>
      </c>
    </row>
    <row r="61" spans="1:6" ht="15.75">
      <c r="A61" s="12"/>
      <c r="B61" s="16"/>
      <c r="C61" s="87"/>
      <c r="D61" s="19"/>
      <c r="E61" s="18"/>
      <c r="F61" s="22">
        <f t="shared" si="0"/>
        <v>11755500</v>
      </c>
    </row>
    <row r="62" spans="1:6" ht="15.75">
      <c r="A62" s="12"/>
      <c r="B62" s="16"/>
      <c r="C62" s="87"/>
      <c r="D62" s="19"/>
      <c r="E62" s="18"/>
      <c r="F62" s="22">
        <f t="shared" si="0"/>
        <v>11755500</v>
      </c>
    </row>
    <row r="63" spans="1:6" ht="15.75">
      <c r="A63" s="12"/>
      <c r="B63" s="16"/>
      <c r="C63" s="87"/>
      <c r="D63" s="19"/>
      <c r="E63" s="18"/>
      <c r="F63" s="22">
        <f t="shared" si="0"/>
        <v>11755500</v>
      </c>
    </row>
    <row r="64" spans="1:6" ht="15.75">
      <c r="A64" s="12"/>
      <c r="B64" s="16"/>
      <c r="C64" s="87"/>
      <c r="D64" s="19"/>
      <c r="E64" s="18"/>
      <c r="F64" s="22">
        <f t="shared" si="0"/>
        <v>11755500</v>
      </c>
    </row>
    <row r="65" spans="1:9" ht="15.75">
      <c r="A65" s="12"/>
      <c r="B65" s="16"/>
      <c r="C65" s="87"/>
      <c r="D65" s="19"/>
      <c r="E65" s="18"/>
      <c r="F65" s="22">
        <f t="shared" si="0"/>
        <v>11755500</v>
      </c>
    </row>
    <row r="66" spans="1:9" ht="15.75">
      <c r="A66" s="12"/>
      <c r="B66" s="16"/>
      <c r="C66" s="87"/>
      <c r="D66" s="19"/>
      <c r="E66" s="18"/>
      <c r="F66" s="22">
        <f t="shared" si="0"/>
        <v>11755500</v>
      </c>
    </row>
    <row r="67" spans="1:9" ht="15.75">
      <c r="A67" s="12"/>
      <c r="B67" s="16"/>
      <c r="C67" s="87"/>
      <c r="D67" s="19"/>
      <c r="E67" s="18"/>
      <c r="F67" s="22">
        <f t="shared" si="0"/>
        <v>11755500</v>
      </c>
    </row>
    <row r="68" spans="1:9" ht="15.75">
      <c r="A68" s="12"/>
      <c r="B68" s="16"/>
      <c r="C68" s="87"/>
      <c r="D68" s="19"/>
      <c r="E68" s="18"/>
      <c r="F68" s="22">
        <f t="shared" si="0"/>
        <v>11755500</v>
      </c>
    </row>
    <row r="69" spans="1:9" ht="15.75">
      <c r="A69" s="12"/>
      <c r="B69" s="16"/>
      <c r="C69" s="92"/>
      <c r="D69" s="19"/>
      <c r="E69" s="18"/>
      <c r="F69" s="22">
        <f t="shared" si="0"/>
        <v>11755500</v>
      </c>
    </row>
    <row r="70" spans="1:9" ht="15.75">
      <c r="A70" s="12"/>
      <c r="B70" s="16"/>
      <c r="C70" s="87"/>
      <c r="D70" s="19"/>
      <c r="E70" s="18"/>
      <c r="F70" s="22">
        <f t="shared" si="0"/>
        <v>11755500</v>
      </c>
    </row>
    <row r="71" spans="1:9" ht="15.75">
      <c r="A71" s="12"/>
      <c r="B71" s="16"/>
      <c r="C71" s="87"/>
      <c r="D71" s="19"/>
      <c r="E71" s="18"/>
      <c r="F71" s="22">
        <f t="shared" si="0"/>
        <v>11755500</v>
      </c>
    </row>
    <row r="72" spans="1:9" ht="15.75">
      <c r="A72" s="12"/>
      <c r="B72" s="16"/>
      <c r="C72" s="87"/>
      <c r="D72" s="19"/>
      <c r="E72" s="18"/>
      <c r="F72" s="22">
        <f t="shared" si="0"/>
        <v>11755500</v>
      </c>
    </row>
    <row r="73" spans="1:9" ht="15.75">
      <c r="A73" s="12"/>
      <c r="B73" s="16"/>
      <c r="C73" s="87"/>
      <c r="D73" s="19"/>
      <c r="E73" s="18"/>
      <c r="F73" s="22">
        <f t="shared" si="0"/>
        <v>11755500</v>
      </c>
    </row>
    <row r="74" spans="1:9" ht="15.75">
      <c r="A74" s="12"/>
      <c r="B74" s="16"/>
      <c r="C74" s="87"/>
      <c r="D74" s="19"/>
      <c r="E74" s="18"/>
      <c r="F74" s="22">
        <f t="shared" si="0"/>
        <v>11755500</v>
      </c>
    </row>
    <row r="75" spans="1:9" ht="15.75">
      <c r="A75" s="12"/>
      <c r="B75" s="16"/>
      <c r="C75" s="87"/>
      <c r="D75" s="19"/>
      <c r="E75" s="18"/>
      <c r="F75" s="22">
        <f t="shared" si="0"/>
        <v>11755500</v>
      </c>
      <c r="I75" s="93"/>
    </row>
    <row r="76" spans="1:9" ht="15.75">
      <c r="A76" s="12"/>
      <c r="B76" s="16"/>
      <c r="C76" s="66"/>
      <c r="D76" s="19"/>
      <c r="E76" s="18"/>
      <c r="F76" s="22">
        <f t="shared" si="0"/>
        <v>11755500</v>
      </c>
      <c r="H76"/>
    </row>
    <row r="77" spans="1:9" ht="15.75">
      <c r="A77" s="20"/>
      <c r="B77" s="16"/>
      <c r="C77" s="21" t="s">
        <v>14</v>
      </c>
      <c r="D77" s="22">
        <f>SUM(D16:D76)</f>
        <v>496000000</v>
      </c>
      <c r="E77" s="22">
        <f>SUM(E16:E76)</f>
        <v>484244500</v>
      </c>
      <c r="F77" s="24">
        <f>D77-E77</f>
        <v>11755500</v>
      </c>
      <c r="H77"/>
    </row>
  </sheetData>
  <mergeCells count="3">
    <mergeCell ref="A1:B1"/>
    <mergeCell ref="A13:F14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AGT-1</vt:lpstr>
      <vt:lpstr>SEP-1</vt:lpstr>
      <vt:lpstr>OKT-1</vt:lpstr>
      <vt:lpstr>NOV-1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macbookair</dc:creator>
  <cp:lastModifiedBy>Hafidh Adani</cp:lastModifiedBy>
  <dcterms:created xsi:type="dcterms:W3CDTF">2025-08-11T10:16:24Z</dcterms:created>
  <dcterms:modified xsi:type="dcterms:W3CDTF">2025-11-01T05:50:25Z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1033-4.6.0.7725</vt:lpwstr>
  </property>
</Properties>
</file>