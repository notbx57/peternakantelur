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aporan Ayam\Manajemen\TAHUN 2025\"/>
    </mc:Choice>
  </mc:AlternateContent>
  <xr:revisionPtr revIDLastSave="0" documentId="13_ncr:1_{25D0F16A-D5D9-487B-9A01-28C2AACE4C55}" xr6:coauthVersionLast="47" xr6:coauthVersionMax="47" xr10:uidLastSave="{00000000-0000-0000-0000-000000000000}"/>
  <bookViews>
    <workbookView xWindow="-120" yWindow="-120" windowWidth="29040" windowHeight="15990" tabRatio="605" activeTab="2" xr2:uid="{00000000-000D-0000-FFFF-FFFF00000000}"/>
  </bookViews>
  <sheets>
    <sheet name="SEP-25" sheetId="47" r:id="rId1"/>
    <sheet name="OKT-25" sheetId="48" r:id="rId2"/>
    <sheet name="NOV-25" sheetId="49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9" l="1"/>
  <c r="F2" i="49"/>
  <c r="F3" i="49" s="1"/>
  <c r="F4" i="49" s="1"/>
  <c r="F5" i="49" s="1"/>
  <c r="F6" i="49" s="1"/>
  <c r="F7" i="49" s="1"/>
  <c r="F8" i="49" s="1"/>
  <c r="F9" i="49" s="1"/>
  <c r="F10" i="49" s="1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E2" i="49"/>
  <c r="D2" i="49"/>
  <c r="F27" i="49"/>
  <c r="D24" i="49"/>
  <c r="E24" i="49"/>
  <c r="F20" i="48"/>
  <c r="F21" i="48"/>
  <c r="F22" i="48"/>
  <c r="D24" i="48"/>
  <c r="E24" i="48"/>
  <c r="F24" i="49" l="1"/>
  <c r="F28" i="49" s="1"/>
  <c r="F30" i="49" l="1"/>
  <c r="F32" i="49" s="1"/>
  <c r="E15" i="48"/>
  <c r="E16" i="48"/>
  <c r="E17" i="48"/>
  <c r="E18" i="48"/>
  <c r="E19" i="48"/>
  <c r="E6" i="48" l="1"/>
  <c r="F2" i="48"/>
  <c r="F3" i="48" s="1"/>
  <c r="F4" i="48" s="1"/>
  <c r="F5" i="48" s="1"/>
  <c r="F6" i="48" s="1"/>
  <c r="F7" i="48" s="1"/>
  <c r="F8" i="48" s="1"/>
  <c r="F9" i="48" s="1"/>
  <c r="F10" i="48" s="1"/>
  <c r="F11" i="48" s="1"/>
  <c r="F12" i="48" s="1"/>
  <c r="F13" i="48" s="1"/>
  <c r="F14" i="48" s="1"/>
  <c r="F15" i="48" s="1"/>
  <c r="F16" i="48" s="1"/>
  <c r="F17" i="48" s="1"/>
  <c r="F18" i="48" s="1"/>
  <c r="F19" i="48" s="1"/>
  <c r="E2" i="48"/>
  <c r="D2" i="48"/>
  <c r="F24" i="48" l="1"/>
  <c r="E22" i="47" l="1"/>
  <c r="F3" i="47" l="1"/>
  <c r="E10" i="47"/>
  <c r="E6" i="47"/>
  <c r="D34" i="47"/>
  <c r="F4" i="47" l="1"/>
  <c r="F5" i="47" s="1"/>
  <c r="F6" i="47" s="1"/>
  <c r="F7" i="47" s="1"/>
  <c r="F8" i="47" s="1"/>
  <c r="F9" i="47" s="1"/>
  <c r="F10" i="47" s="1"/>
  <c r="F11" i="47" s="1"/>
  <c r="F12" i="47" s="1"/>
  <c r="F13" i="47" s="1"/>
  <c r="F14" i="47" s="1"/>
  <c r="F15" i="47" s="1"/>
  <c r="F16" i="47" s="1"/>
  <c r="F17" i="47" s="1"/>
  <c r="F18" i="47" s="1"/>
  <c r="F19" i="47" s="1"/>
  <c r="F20" i="47" s="1"/>
  <c r="F21" i="47" s="1"/>
  <c r="F22" i="47" s="1"/>
  <c r="F23" i="47" s="1"/>
  <c r="F24" i="47" s="1"/>
  <c r="F25" i="47" s="1"/>
  <c r="F26" i="47" s="1"/>
  <c r="F27" i="47" s="1"/>
  <c r="F28" i="47" s="1"/>
  <c r="F29" i="47" s="1"/>
  <c r="F30" i="47" s="1"/>
  <c r="F31" i="47" s="1"/>
  <c r="F32" i="47" s="1"/>
  <c r="F33" i="47" s="1"/>
  <c r="E34" i="47"/>
  <c r="F34" i="47" s="1"/>
</calcChain>
</file>

<file path=xl/sharedStrings.xml><?xml version="1.0" encoding="utf-8"?>
<sst xmlns="http://schemas.openxmlformats.org/spreadsheetml/2006/main" count="77" uniqueCount="53">
  <si>
    <t>TGL</t>
  </si>
  <si>
    <t>KETERANGAN</t>
  </si>
  <si>
    <t>MASUK</t>
  </si>
  <si>
    <t>KELUAR</t>
  </si>
  <si>
    <t>SALDO</t>
  </si>
  <si>
    <t>SALDO AWAL</t>
  </si>
  <si>
    <t>Pembelian kertas koran sebanyak 20 kg</t>
  </si>
  <si>
    <t>saldo BANK</t>
  </si>
  <si>
    <t>SELISIH</t>
  </si>
  <si>
    <t>Pembelian obat untuk pembesaran oemah putra D&amp;R</t>
  </si>
  <si>
    <t>Biaya admin</t>
  </si>
  <si>
    <r>
      <t xml:space="preserve">DP pembayaran pullet </t>
    </r>
    <r>
      <rPr>
        <b/>
        <sz val="12"/>
        <color theme="1"/>
        <rFont val="Calibri"/>
        <family val="2"/>
        <scheme val="minor"/>
      </rPr>
      <t>KEDUA</t>
    </r>
    <r>
      <rPr>
        <sz val="12"/>
        <color theme="1"/>
        <rFont val="Calibri"/>
        <family val="2"/>
        <scheme val="minor"/>
      </rPr>
      <t xml:space="preserve"> Kevin Farm</t>
    </r>
  </si>
  <si>
    <r>
      <t xml:space="preserve">Pembayaran pullet </t>
    </r>
    <r>
      <rPr>
        <b/>
        <sz val="12"/>
        <color theme="1"/>
        <rFont val="Calibri"/>
        <family val="2"/>
        <scheme val="minor"/>
      </rPr>
      <t>KEDUA</t>
    </r>
    <r>
      <rPr>
        <sz val="12"/>
        <color theme="1"/>
        <rFont val="Calibri"/>
        <family val="2"/>
        <scheme val="minor"/>
      </rPr>
      <t xml:space="preserve"> sebanyak 4.500 ekor @12.656</t>
    </r>
  </si>
  <si>
    <t>Pembelian 68 gas elpiji @24.000</t>
  </si>
  <si>
    <t>Bongkar @100.000</t>
  </si>
  <si>
    <t>Pembelian pakan 2 ton @7.300</t>
  </si>
  <si>
    <t>Mobil angkutan</t>
  </si>
  <si>
    <t>Gula &amp; Jahe</t>
  </si>
  <si>
    <t>Pembelian 30 buah lampu bohlam LED 15 watt kuning</t>
  </si>
  <si>
    <t>SALDO KAS DAN BANK AYAM PERTAMA</t>
  </si>
  <si>
    <t>SALDO KAS DAN BANK AYAM KEDUA</t>
  </si>
  <si>
    <t>KEUNTUNGAN (KERUGIAN) AYAM KEDUA</t>
  </si>
  <si>
    <t>Pembelian 2 buah timbangan</t>
  </si>
  <si>
    <t>Upah vaksin 3 orang @100.000 tetes mata NDIB</t>
  </si>
  <si>
    <t>Upah vaksin GUMBORO 3 orang @100.000</t>
  </si>
  <si>
    <t>Biaya administrasi kartu debit</t>
  </si>
  <si>
    <t>Bayar Listrik</t>
  </si>
  <si>
    <t>Upah vaksin KILL suntik leher 4 orang</t>
  </si>
  <si>
    <t>Pembelian 108 gas elpiji @24.000 (sudah dibeli 64, sisa 44)</t>
  </si>
  <si>
    <t>Gaji bulan September 2025 :</t>
  </si>
  <si>
    <t># Rudi</t>
  </si>
  <si>
    <t>Uang makan 1 orang</t>
  </si>
  <si>
    <t>Pembelian 1 unit motor Jupiter 2011</t>
  </si>
  <si>
    <t>Service motor</t>
  </si>
  <si>
    <t>Upah vaksin GUMBORO 4 orang</t>
  </si>
  <si>
    <t>Biaya administrasi rekening</t>
  </si>
  <si>
    <t>Pajak rekening</t>
  </si>
  <si>
    <t>Bunga rekening</t>
  </si>
  <si>
    <t>SALDO BULAN SEPTEMBER 2025</t>
  </si>
  <si>
    <t>Upah vaksin GUMBORO 3 4 orang @100.000</t>
  </si>
  <si>
    <t>Beli pakan 6.500 x 6.100</t>
  </si>
  <si>
    <t>Suntik AI H5N1</t>
  </si>
  <si>
    <t>Biaya angkut dari Serang</t>
  </si>
  <si>
    <t>Sekam</t>
  </si>
  <si>
    <t>Obat Lalat</t>
  </si>
  <si>
    <t>Kapur DOC</t>
  </si>
  <si>
    <t># Irwan (gaji @2.400.000 + uang makan @500.000)</t>
  </si>
  <si>
    <t># Sam (gaji @2.400.000 + uang makan @500.000)</t>
  </si>
  <si>
    <t># Sardi (gaji @2.400.000 + uang makan @500.000)</t>
  </si>
  <si>
    <t># Urip (gaji @2.500.000 + uang makan @500.000 + supervisor @500.000)</t>
  </si>
  <si>
    <t># Rudi (gaji @2.500.000 + uang makan @500.000 + supervisor @500.000)</t>
  </si>
  <si>
    <t>Gaji bulan Oktober 2025 :</t>
  </si>
  <si>
    <t>SALDO KAS KANDANG KAMPOENG ENDOK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</si>
</sst>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&quot;Rp&quot;#,##0"/>
  </numFmts>
  <fonts count="4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justify" vertical="justify"/>
    </xf>
    <xf numFmtId="164" fontId="0" fillId="0" borderId="0" xfId="1" applyFont="1"/>
    <xf numFmtId="0" fontId="1" fillId="2" borderId="1" xfId="0" applyFont="1" applyFill="1" applyBorder="1" applyAlignment="1">
      <alignment horizontal="center" vertical="center"/>
    </xf>
    <xf numFmtId="164" fontId="1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justify"/>
    </xf>
    <xf numFmtId="164" fontId="1" fillId="0" borderId="1" xfId="1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justify" vertical="top"/>
    </xf>
    <xf numFmtId="164" fontId="0" fillId="0" borderId="1" xfId="1" applyFont="1" applyBorder="1"/>
    <xf numFmtId="0" fontId="2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164" fontId="0" fillId="0" borderId="1" xfId="1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164" fontId="1" fillId="0" borderId="1" xfId="1" applyFont="1" applyBorder="1" applyAlignment="1">
      <alignment vertical="top"/>
    </xf>
    <xf numFmtId="164" fontId="0" fillId="0" borderId="0" xfId="0" applyNumberFormat="1"/>
    <xf numFmtId="164" fontId="3" fillId="3" borderId="1" xfId="1" applyFont="1" applyFill="1" applyBorder="1" applyAlignment="1">
      <alignment vertical="top"/>
    </xf>
    <xf numFmtId="165" fontId="0" fillId="0" borderId="0" xfId="0" applyNumberFormat="1"/>
    <xf numFmtId="164" fontId="1" fillId="0" borderId="0" xfId="1" applyFont="1" applyBorder="1"/>
    <xf numFmtId="164" fontId="0" fillId="0" borderId="0" xfId="1" applyFont="1" applyBorder="1"/>
    <xf numFmtId="0" fontId="1" fillId="2" borderId="1" xfId="0" applyFont="1" applyFill="1" applyBorder="1" applyAlignment="1">
      <alignment horizontal="center" vertical="center"/>
    </xf>
  </cellXfs>
  <cellStyles count="3">
    <cellStyle name="Comma [0]" xfId="1" builtinId="6"/>
    <cellStyle name="Comma [0] 2" xfId="2" xr:uid="{E33BC9E4-5343-4534-9FEF-DFAD7CE07B97}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ocuments\Laporan%20Ayam\Manajemen\TAHUN%202025\AYAM%20PERTAMA%20-%20LAPKEU%202025.xlsx" TargetMode="External"/><Relationship Id="rId1" Type="http://schemas.openxmlformats.org/officeDocument/2006/relationships/externalLinkPath" Target="AYAM%20PERTAMA%20-%20LAPKEU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ocuments\Laporan%20Ayam\REKAPAN.xlsx" TargetMode="External"/><Relationship Id="rId1" Type="http://schemas.openxmlformats.org/officeDocument/2006/relationships/externalLinkPath" Target="file:///C:\Users\user\OneDrive\Documents\Laporan%20Ayam\REKAP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 25"/>
      <sheetName val="AGT 25"/>
      <sheetName val="SEP-25"/>
      <sheetName val="OKT-25"/>
      <sheetName val="NOV-25"/>
    </sheetNames>
    <sheetDataSet>
      <sheetData sheetId="0"/>
      <sheetData sheetId="1"/>
      <sheetData sheetId="2"/>
      <sheetData sheetId="3"/>
      <sheetData sheetId="4">
        <row r="6">
          <cell r="F6">
            <v>143131322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 25"/>
    </sheetNames>
    <sheetDataSet>
      <sheetData sheetId="0">
        <row r="47">
          <cell r="F47">
            <v>11755500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A247-B20D-42B0-8CB5-C1FC1C91DD33}">
  <dimension ref="A1:I44"/>
  <sheetViews>
    <sheetView workbookViewId="0">
      <selection activeCell="H16" sqref="H16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4" width="18.875" style="4" customWidth="1"/>
    <col min="5" max="5" width="20.625" style="4" customWidth="1"/>
    <col min="6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8" s="1" customFormat="1" ht="26.1" customHeight="1">
      <c r="A1" s="25" t="s">
        <v>0</v>
      </c>
      <c r="B1" s="25"/>
      <c r="C1" s="5" t="s">
        <v>1</v>
      </c>
      <c r="D1" s="6" t="s">
        <v>2</v>
      </c>
      <c r="E1" s="6" t="s">
        <v>3</v>
      </c>
      <c r="F1" s="6" t="s">
        <v>4</v>
      </c>
    </row>
    <row r="2" spans="1:8">
      <c r="A2" s="7">
        <v>2025</v>
      </c>
      <c r="B2" s="8"/>
      <c r="C2" s="9" t="s">
        <v>5</v>
      </c>
      <c r="D2" s="10">
        <v>0</v>
      </c>
      <c r="E2" s="10">
        <v>0</v>
      </c>
      <c r="F2" s="10">
        <v>0</v>
      </c>
    </row>
    <row r="3" spans="1:8">
      <c r="A3" s="8"/>
      <c r="B3" s="15">
        <v>11</v>
      </c>
      <c r="C3" s="15" t="s">
        <v>11</v>
      </c>
      <c r="D3" s="13">
        <v>150000000</v>
      </c>
      <c r="E3" s="13"/>
      <c r="F3" s="19">
        <f t="shared" ref="F3:F33" si="0">F2+D3-E3</f>
        <v>150000000</v>
      </c>
      <c r="H3" s="20"/>
    </row>
    <row r="4" spans="1:8">
      <c r="A4" s="8"/>
      <c r="B4" s="15">
        <v>11</v>
      </c>
      <c r="C4" s="15" t="s">
        <v>12</v>
      </c>
      <c r="D4" s="13"/>
      <c r="E4" s="13">
        <v>56952000</v>
      </c>
      <c r="F4" s="19">
        <f t="shared" si="0"/>
        <v>93048000</v>
      </c>
      <c r="H4" s="20"/>
    </row>
    <row r="5" spans="1:8">
      <c r="A5" s="8"/>
      <c r="B5" s="15">
        <v>11</v>
      </c>
      <c r="C5" s="15" t="s">
        <v>10</v>
      </c>
      <c r="D5" s="13"/>
      <c r="E5" s="13">
        <v>6500</v>
      </c>
      <c r="F5" s="19">
        <f t="shared" si="0"/>
        <v>93041500</v>
      </c>
      <c r="H5" s="20"/>
    </row>
    <row r="6" spans="1:8">
      <c r="A6" s="8"/>
      <c r="B6" s="15">
        <v>11</v>
      </c>
      <c r="C6" s="14" t="s">
        <v>13</v>
      </c>
      <c r="D6" s="13"/>
      <c r="E6" s="17">
        <f>68*24000</f>
        <v>1632000</v>
      </c>
      <c r="F6" s="19">
        <f t="shared" si="0"/>
        <v>91409500</v>
      </c>
      <c r="H6" s="20"/>
    </row>
    <row r="7" spans="1:8">
      <c r="A7" s="8"/>
      <c r="B7" s="15">
        <v>11</v>
      </c>
      <c r="C7" s="14" t="s">
        <v>17</v>
      </c>
      <c r="D7" s="13"/>
      <c r="E7" s="17">
        <v>50000</v>
      </c>
      <c r="F7" s="19">
        <f t="shared" si="0"/>
        <v>91359500</v>
      </c>
      <c r="H7" s="20"/>
    </row>
    <row r="8" spans="1:8">
      <c r="A8" s="8"/>
      <c r="B8" s="15">
        <v>11</v>
      </c>
      <c r="C8" s="12" t="s">
        <v>6</v>
      </c>
      <c r="D8" s="13"/>
      <c r="E8" s="17">
        <v>184500</v>
      </c>
      <c r="F8" s="19">
        <f t="shared" si="0"/>
        <v>91175000</v>
      </c>
      <c r="H8" s="20"/>
    </row>
    <row r="9" spans="1:8">
      <c r="A9" s="8"/>
      <c r="B9" s="15">
        <v>11</v>
      </c>
      <c r="C9" s="15" t="s">
        <v>14</v>
      </c>
      <c r="D9" s="13"/>
      <c r="E9" s="13">
        <v>500000</v>
      </c>
      <c r="F9" s="19">
        <f t="shared" si="0"/>
        <v>90675000</v>
      </c>
      <c r="H9" s="20"/>
    </row>
    <row r="10" spans="1:8">
      <c r="A10" s="8"/>
      <c r="B10" s="15">
        <v>11</v>
      </c>
      <c r="C10" s="15" t="s">
        <v>15</v>
      </c>
      <c r="D10" s="13"/>
      <c r="E10" s="13">
        <f>7300*2000</f>
        <v>14600000</v>
      </c>
      <c r="F10" s="19">
        <f t="shared" si="0"/>
        <v>76075000</v>
      </c>
      <c r="H10" s="20"/>
    </row>
    <row r="11" spans="1:8">
      <c r="A11" s="8"/>
      <c r="B11" s="15">
        <v>11</v>
      </c>
      <c r="C11" s="15" t="s">
        <v>10</v>
      </c>
      <c r="D11" s="13"/>
      <c r="E11" s="13">
        <v>6500</v>
      </c>
      <c r="F11" s="19">
        <f t="shared" si="0"/>
        <v>76068500</v>
      </c>
      <c r="H11" s="20"/>
    </row>
    <row r="12" spans="1:8">
      <c r="A12" s="8"/>
      <c r="B12" s="15">
        <v>11</v>
      </c>
      <c r="C12" s="15" t="s">
        <v>16</v>
      </c>
      <c r="D12" s="13"/>
      <c r="E12" s="13">
        <v>500000</v>
      </c>
      <c r="F12" s="19">
        <f t="shared" si="0"/>
        <v>75568500</v>
      </c>
      <c r="H12" s="20"/>
    </row>
    <row r="13" spans="1:8">
      <c r="A13" s="8"/>
      <c r="B13" s="15">
        <v>11</v>
      </c>
      <c r="C13" s="15" t="s">
        <v>14</v>
      </c>
      <c r="D13" s="13"/>
      <c r="E13" s="13">
        <v>100000</v>
      </c>
      <c r="F13" s="19">
        <f t="shared" si="0"/>
        <v>75468500</v>
      </c>
      <c r="H13" s="20"/>
    </row>
    <row r="14" spans="1:8">
      <c r="A14" s="8"/>
      <c r="B14" s="15">
        <v>11</v>
      </c>
      <c r="C14" s="15" t="s">
        <v>9</v>
      </c>
      <c r="D14" s="13"/>
      <c r="E14" s="13">
        <v>13970000</v>
      </c>
      <c r="F14" s="19">
        <f t="shared" si="0"/>
        <v>61498500</v>
      </c>
      <c r="H14" s="20"/>
    </row>
    <row r="15" spans="1:8">
      <c r="A15" s="8"/>
      <c r="B15" s="15">
        <v>11</v>
      </c>
      <c r="C15" s="15" t="s">
        <v>18</v>
      </c>
      <c r="D15" s="13"/>
      <c r="E15" s="13">
        <v>771918</v>
      </c>
      <c r="F15" s="19">
        <f t="shared" si="0"/>
        <v>60726582</v>
      </c>
      <c r="H15" s="20"/>
    </row>
    <row r="16" spans="1:8">
      <c r="A16" s="8"/>
      <c r="B16" s="15">
        <v>14</v>
      </c>
      <c r="C16" s="15" t="s">
        <v>22</v>
      </c>
      <c r="D16" s="13"/>
      <c r="E16" s="13">
        <v>777963</v>
      </c>
      <c r="F16" s="19">
        <f t="shared" si="0"/>
        <v>59948619</v>
      </c>
      <c r="H16" s="20"/>
    </row>
    <row r="17" spans="1:8">
      <c r="A17" s="8"/>
      <c r="B17" s="15">
        <v>15</v>
      </c>
      <c r="C17" s="15" t="s">
        <v>23</v>
      </c>
      <c r="D17" s="13"/>
      <c r="E17" s="13">
        <v>300000</v>
      </c>
      <c r="F17" s="19">
        <f t="shared" si="0"/>
        <v>59648619</v>
      </c>
      <c r="H17" s="20"/>
    </row>
    <row r="18" spans="1:8">
      <c r="A18" s="8"/>
      <c r="B18" s="15">
        <v>17</v>
      </c>
      <c r="C18" s="15" t="s">
        <v>25</v>
      </c>
      <c r="D18" s="13"/>
      <c r="E18" s="13">
        <v>10000</v>
      </c>
      <c r="F18" s="19">
        <f t="shared" si="0"/>
        <v>59638619</v>
      </c>
      <c r="H18" s="20"/>
    </row>
    <row r="19" spans="1:8">
      <c r="A19" s="8"/>
      <c r="B19" s="15">
        <v>19</v>
      </c>
      <c r="C19" s="15" t="s">
        <v>24</v>
      </c>
      <c r="D19" s="13"/>
      <c r="E19" s="13">
        <v>300000</v>
      </c>
      <c r="F19" s="19">
        <f t="shared" si="0"/>
        <v>59338619</v>
      </c>
      <c r="H19" s="20"/>
    </row>
    <row r="20" spans="1:8">
      <c r="A20" s="8"/>
      <c r="B20" s="15">
        <v>20</v>
      </c>
      <c r="C20" s="15" t="s">
        <v>26</v>
      </c>
      <c r="D20" s="13"/>
      <c r="E20" s="13">
        <v>503500</v>
      </c>
      <c r="F20" s="19">
        <f t="shared" si="0"/>
        <v>58835119</v>
      </c>
      <c r="H20" s="20"/>
    </row>
    <row r="21" spans="1:8">
      <c r="A21" s="8"/>
      <c r="B21" s="15">
        <v>21</v>
      </c>
      <c r="C21" s="15" t="s">
        <v>27</v>
      </c>
      <c r="D21" s="13"/>
      <c r="E21" s="13">
        <v>800000</v>
      </c>
      <c r="F21" s="19">
        <f t="shared" si="0"/>
        <v>58035119</v>
      </c>
      <c r="H21" s="20"/>
    </row>
    <row r="22" spans="1:8">
      <c r="A22" s="8"/>
      <c r="B22" s="15">
        <v>22</v>
      </c>
      <c r="C22" s="12" t="s">
        <v>28</v>
      </c>
      <c r="D22" s="13"/>
      <c r="E22" s="13">
        <f>44*24000</f>
        <v>1056000</v>
      </c>
      <c r="F22" s="19">
        <f t="shared" si="0"/>
        <v>56979119</v>
      </c>
      <c r="H22" s="20"/>
    </row>
    <row r="23" spans="1:8">
      <c r="A23" s="8"/>
      <c r="B23" s="15">
        <v>24</v>
      </c>
      <c r="C23" s="15" t="s">
        <v>29</v>
      </c>
      <c r="D23" s="13"/>
      <c r="E23" s="13"/>
      <c r="F23" s="19">
        <f t="shared" si="0"/>
        <v>56979119</v>
      </c>
      <c r="H23" s="20"/>
    </row>
    <row r="24" spans="1:8">
      <c r="A24" s="8"/>
      <c r="B24" s="15"/>
      <c r="C24" s="15" t="s">
        <v>30</v>
      </c>
      <c r="D24" s="13"/>
      <c r="E24" s="13">
        <v>2500000</v>
      </c>
      <c r="F24" s="19">
        <f t="shared" si="0"/>
        <v>54479119</v>
      </c>
      <c r="H24" s="20"/>
    </row>
    <row r="25" spans="1:8">
      <c r="A25" s="8"/>
      <c r="B25" s="15">
        <v>24</v>
      </c>
      <c r="C25" s="15" t="s">
        <v>31</v>
      </c>
      <c r="D25" s="13"/>
      <c r="E25" s="13">
        <v>500000</v>
      </c>
      <c r="F25" s="19">
        <f t="shared" si="0"/>
        <v>53979119</v>
      </c>
      <c r="H25" s="20"/>
    </row>
    <row r="26" spans="1:8">
      <c r="A26" s="8"/>
      <c r="B26" s="15">
        <v>25</v>
      </c>
      <c r="C26" s="15" t="s">
        <v>10</v>
      </c>
      <c r="D26" s="13"/>
      <c r="E26" s="13">
        <v>2500</v>
      </c>
      <c r="F26" s="19">
        <f t="shared" si="0"/>
        <v>53976619</v>
      </c>
      <c r="H26" s="20"/>
    </row>
    <row r="27" spans="1:8">
      <c r="A27" s="8"/>
      <c r="B27" s="15">
        <v>25</v>
      </c>
      <c r="C27" s="15" t="s">
        <v>32</v>
      </c>
      <c r="D27" s="13"/>
      <c r="E27" s="13">
        <v>3000000</v>
      </c>
      <c r="F27" s="19">
        <f t="shared" si="0"/>
        <v>50976619</v>
      </c>
      <c r="H27" s="20"/>
    </row>
    <row r="28" spans="1:8">
      <c r="A28" s="8"/>
      <c r="B28" s="15">
        <v>25</v>
      </c>
      <c r="C28" s="15" t="s">
        <v>33</v>
      </c>
      <c r="D28" s="13"/>
      <c r="E28" s="13">
        <v>1135000</v>
      </c>
      <c r="F28" s="19">
        <f t="shared" si="0"/>
        <v>49841619</v>
      </c>
      <c r="H28" s="20"/>
    </row>
    <row r="29" spans="1:8">
      <c r="A29" s="8"/>
      <c r="B29" s="15">
        <v>25</v>
      </c>
      <c r="C29" s="15" t="s">
        <v>10</v>
      </c>
      <c r="D29" s="13"/>
      <c r="E29" s="13">
        <v>2500</v>
      </c>
      <c r="F29" s="19">
        <f t="shared" si="0"/>
        <v>49839119</v>
      </c>
      <c r="H29" s="20"/>
    </row>
    <row r="30" spans="1:8">
      <c r="A30" s="8"/>
      <c r="B30" s="15">
        <v>26</v>
      </c>
      <c r="C30" s="15" t="s">
        <v>34</v>
      </c>
      <c r="D30" s="13"/>
      <c r="E30" s="13">
        <v>400000</v>
      </c>
      <c r="F30" s="19">
        <f t="shared" si="0"/>
        <v>49439119</v>
      </c>
      <c r="H30" s="20"/>
    </row>
    <row r="31" spans="1:8">
      <c r="A31" s="8"/>
      <c r="B31" s="15">
        <v>30</v>
      </c>
      <c r="C31" s="15" t="s">
        <v>35</v>
      </c>
      <c r="D31" s="13"/>
      <c r="E31" s="13">
        <v>12500</v>
      </c>
      <c r="F31" s="19">
        <f t="shared" si="0"/>
        <v>49426619</v>
      </c>
      <c r="H31" s="20"/>
    </row>
    <row r="32" spans="1:8">
      <c r="A32" s="8"/>
      <c r="B32" s="15">
        <v>30</v>
      </c>
      <c r="C32" s="15" t="s">
        <v>36</v>
      </c>
      <c r="D32" s="13"/>
      <c r="E32" s="13">
        <v>1750</v>
      </c>
      <c r="F32" s="19">
        <f t="shared" si="0"/>
        <v>49424869</v>
      </c>
      <c r="H32" s="20"/>
    </row>
    <row r="33" spans="1:9">
      <c r="A33" s="8"/>
      <c r="B33" s="15">
        <v>30</v>
      </c>
      <c r="C33" s="15" t="s">
        <v>37</v>
      </c>
      <c r="D33" s="13">
        <v>8750</v>
      </c>
      <c r="E33" s="13"/>
      <c r="F33" s="19">
        <f t="shared" si="0"/>
        <v>49433619</v>
      </c>
      <c r="H33" s="20"/>
    </row>
    <row r="34" spans="1:9">
      <c r="A34" s="16"/>
      <c r="B34" s="11"/>
      <c r="C34" s="18" t="s">
        <v>38</v>
      </c>
      <c r="D34" s="19">
        <f>SUM(D2:D33)</f>
        <v>150008750</v>
      </c>
      <c r="E34" s="19">
        <f>SUM(E2:E33)</f>
        <v>100575131</v>
      </c>
      <c r="F34" s="21">
        <f>D34-E34</f>
        <v>49433619</v>
      </c>
    </row>
    <row r="37" spans="1:9">
      <c r="D37" s="23"/>
      <c r="E37" s="23"/>
      <c r="F37" s="23"/>
      <c r="I37" s="22"/>
    </row>
    <row r="38" spans="1:9">
      <c r="D38" s="23"/>
      <c r="E38" s="23"/>
      <c r="F38" s="23"/>
      <c r="I38" s="22"/>
    </row>
    <row r="39" spans="1:9">
      <c r="D39" s="23"/>
      <c r="E39" s="23"/>
      <c r="F39" s="23"/>
      <c r="I39" s="22"/>
    </row>
    <row r="40" spans="1:9">
      <c r="D40" s="23"/>
      <c r="E40" s="23"/>
      <c r="F40" s="23"/>
      <c r="I40" s="22"/>
    </row>
    <row r="41" spans="1:9">
      <c r="D41" s="23"/>
      <c r="E41" s="23"/>
      <c r="F41" s="23"/>
    </row>
    <row r="42" spans="1:9">
      <c r="D42" s="23"/>
      <c r="E42" s="23"/>
      <c r="F42" s="23"/>
    </row>
    <row r="43" spans="1:9">
      <c r="D43" s="24"/>
      <c r="E43" s="24"/>
      <c r="F43" s="24"/>
    </row>
    <row r="44" spans="1:9">
      <c r="D44" s="24"/>
      <c r="E44" s="24"/>
      <c r="F44" s="24"/>
    </row>
  </sheetData>
  <mergeCells count="1">
    <mergeCell ref="A1:B1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AD5E-EFD8-48F2-9DCF-F6952E729BAB}">
  <dimension ref="A1:I32"/>
  <sheetViews>
    <sheetView workbookViewId="0">
      <selection activeCell="D27" sqref="D27:F32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4" width="18.875" style="4" customWidth="1"/>
    <col min="5" max="5" width="20.625" style="4" customWidth="1"/>
    <col min="6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8" s="1" customFormat="1" ht="26.1" customHeight="1">
      <c r="A1" s="25" t="s">
        <v>0</v>
      </c>
      <c r="B1" s="25"/>
      <c r="C1" s="5" t="s">
        <v>1</v>
      </c>
      <c r="D1" s="6" t="s">
        <v>2</v>
      </c>
      <c r="E1" s="6" t="s">
        <v>3</v>
      </c>
      <c r="F1" s="6" t="s">
        <v>4</v>
      </c>
    </row>
    <row r="2" spans="1:8">
      <c r="A2" s="7">
        <v>2025</v>
      </c>
      <c r="B2" s="8"/>
      <c r="C2" s="9" t="s">
        <v>5</v>
      </c>
      <c r="D2" s="10">
        <f>'SEP-25'!D34</f>
        <v>150008750</v>
      </c>
      <c r="E2" s="10">
        <f>'SEP-25'!E34</f>
        <v>100575131</v>
      </c>
      <c r="F2" s="10">
        <f>'SEP-25'!F34</f>
        <v>49433619</v>
      </c>
    </row>
    <row r="3" spans="1:8">
      <c r="A3" s="8"/>
      <c r="B3" s="15">
        <v>4</v>
      </c>
      <c r="C3" s="15" t="s">
        <v>26</v>
      </c>
      <c r="D3" s="13"/>
      <c r="E3" s="13">
        <v>503500</v>
      </c>
      <c r="F3" s="19">
        <f>F2+D3-E3</f>
        <v>48930119</v>
      </c>
      <c r="H3" s="20"/>
    </row>
    <row r="4" spans="1:8">
      <c r="A4" s="8"/>
      <c r="B4" s="15">
        <v>4</v>
      </c>
      <c r="C4" s="15" t="s">
        <v>39</v>
      </c>
      <c r="D4" s="13"/>
      <c r="E4" s="13">
        <v>400000</v>
      </c>
      <c r="F4" s="19">
        <f>F3+D4-E4</f>
        <v>48530119</v>
      </c>
      <c r="H4" s="20"/>
    </row>
    <row r="5" spans="1:8">
      <c r="A5" s="8"/>
      <c r="B5" s="15">
        <v>9</v>
      </c>
      <c r="C5" s="15" t="s">
        <v>10</v>
      </c>
      <c r="D5" s="13"/>
      <c r="E5" s="13">
        <v>2500</v>
      </c>
      <c r="F5" s="19">
        <f>F4+D5-E5</f>
        <v>48527619</v>
      </c>
      <c r="H5" s="20"/>
    </row>
    <row r="6" spans="1:8">
      <c r="A6" s="8"/>
      <c r="B6" s="15">
        <v>10</v>
      </c>
      <c r="C6" s="15" t="s">
        <v>40</v>
      </c>
      <c r="D6" s="13"/>
      <c r="E6" s="13">
        <f>6500*6100</f>
        <v>39650000</v>
      </c>
      <c r="F6" s="19">
        <f t="shared" ref="F6:F22" si="0">F5+D6-E6</f>
        <v>8877619</v>
      </c>
      <c r="H6" s="20"/>
    </row>
    <row r="7" spans="1:8">
      <c r="A7" s="8"/>
      <c r="B7" s="15">
        <v>10</v>
      </c>
      <c r="C7" s="15" t="s">
        <v>41</v>
      </c>
      <c r="D7" s="13"/>
      <c r="E7" s="13">
        <v>700000</v>
      </c>
      <c r="F7" s="19">
        <f t="shared" si="0"/>
        <v>8177619</v>
      </c>
      <c r="H7" s="20"/>
    </row>
    <row r="8" spans="1:8">
      <c r="A8" s="8"/>
      <c r="B8" s="15">
        <v>11</v>
      </c>
      <c r="C8" s="15" t="s">
        <v>42</v>
      </c>
      <c r="D8" s="13"/>
      <c r="E8" s="13">
        <v>1200000</v>
      </c>
      <c r="F8" s="19">
        <f t="shared" si="0"/>
        <v>6977619</v>
      </c>
      <c r="H8" s="20"/>
    </row>
    <row r="9" spans="1:8">
      <c r="A9" s="8"/>
      <c r="B9" s="15">
        <v>12</v>
      </c>
      <c r="C9" s="15" t="s">
        <v>43</v>
      </c>
      <c r="D9" s="13"/>
      <c r="E9" s="13">
        <v>1200000</v>
      </c>
      <c r="F9" s="19">
        <f t="shared" si="0"/>
        <v>5777619</v>
      </c>
      <c r="H9" s="20"/>
    </row>
    <row r="10" spans="1:8">
      <c r="A10" s="8"/>
      <c r="B10" s="15">
        <v>12</v>
      </c>
      <c r="C10" s="15" t="s">
        <v>45</v>
      </c>
      <c r="D10" s="13"/>
      <c r="E10" s="13">
        <v>200000</v>
      </c>
      <c r="F10" s="19">
        <f t="shared" si="0"/>
        <v>5577619</v>
      </c>
      <c r="H10" s="20"/>
    </row>
    <row r="11" spans="1:8">
      <c r="A11" s="8"/>
      <c r="B11" s="15">
        <v>12</v>
      </c>
      <c r="C11" s="15" t="s">
        <v>44</v>
      </c>
      <c r="D11" s="13"/>
      <c r="E11" s="13">
        <v>400000</v>
      </c>
      <c r="F11" s="19">
        <f t="shared" si="0"/>
        <v>5177619</v>
      </c>
      <c r="H11" s="20"/>
    </row>
    <row r="12" spans="1:8">
      <c r="A12" s="8"/>
      <c r="B12" s="15">
        <v>17</v>
      </c>
      <c r="C12" s="15" t="s">
        <v>26</v>
      </c>
      <c r="D12" s="13"/>
      <c r="E12" s="13">
        <v>503500</v>
      </c>
      <c r="F12" s="19">
        <f t="shared" si="0"/>
        <v>4674119</v>
      </c>
      <c r="H12" s="20"/>
    </row>
    <row r="13" spans="1:8">
      <c r="A13" s="8"/>
      <c r="B13" s="15">
        <v>20</v>
      </c>
      <c r="C13" s="15" t="s">
        <v>10</v>
      </c>
      <c r="D13" s="13"/>
      <c r="E13" s="13">
        <v>2500</v>
      </c>
      <c r="F13" s="19">
        <f t="shared" si="0"/>
        <v>4671619</v>
      </c>
      <c r="H13" s="20"/>
    </row>
    <row r="14" spans="1:8">
      <c r="A14" s="8"/>
      <c r="B14" s="11">
        <v>25</v>
      </c>
      <c r="C14" s="15" t="s">
        <v>51</v>
      </c>
      <c r="D14" s="13"/>
      <c r="E14" s="13"/>
      <c r="F14" s="19">
        <f t="shared" si="0"/>
        <v>4671619</v>
      </c>
      <c r="H14" s="20"/>
    </row>
    <row r="15" spans="1:8">
      <c r="A15" s="8"/>
      <c r="B15" s="11"/>
      <c r="C15" s="15" t="s">
        <v>50</v>
      </c>
      <c r="D15" s="13"/>
      <c r="E15" s="13">
        <f>2500000+500000+500000</f>
        <v>3500000</v>
      </c>
      <c r="F15" s="19">
        <f t="shared" si="0"/>
        <v>1171619</v>
      </c>
      <c r="H15" s="20"/>
    </row>
    <row r="16" spans="1:8">
      <c r="A16" s="8"/>
      <c r="B16" s="11"/>
      <c r="C16" s="15" t="s">
        <v>49</v>
      </c>
      <c r="D16" s="13"/>
      <c r="E16" s="13">
        <f>2500000+500000+500000</f>
        <v>3500000</v>
      </c>
      <c r="F16" s="19">
        <f t="shared" si="0"/>
        <v>-2328381</v>
      </c>
      <c r="H16" s="20"/>
    </row>
    <row r="17" spans="1:9">
      <c r="A17" s="8"/>
      <c r="B17" s="11"/>
      <c r="C17" s="15" t="s">
        <v>48</v>
      </c>
      <c r="D17" s="13"/>
      <c r="E17" s="13">
        <f>2400000+500000</f>
        <v>2900000</v>
      </c>
      <c r="F17" s="19">
        <f t="shared" si="0"/>
        <v>-5228381</v>
      </c>
      <c r="H17" s="20"/>
    </row>
    <row r="18" spans="1:9">
      <c r="A18" s="8"/>
      <c r="B18" s="11"/>
      <c r="C18" s="15" t="s">
        <v>47</v>
      </c>
      <c r="D18" s="13"/>
      <c r="E18" s="13">
        <f>2400000+500000</f>
        <v>2900000</v>
      </c>
      <c r="F18" s="19">
        <f t="shared" si="0"/>
        <v>-8128381</v>
      </c>
      <c r="H18" s="20"/>
    </row>
    <row r="19" spans="1:9">
      <c r="A19" s="16"/>
      <c r="B19" s="11"/>
      <c r="C19" s="15" t="s">
        <v>46</v>
      </c>
      <c r="D19" s="13"/>
      <c r="E19" s="13">
        <f>2400000+500000</f>
        <v>2900000</v>
      </c>
      <c r="F19" s="19">
        <f t="shared" si="0"/>
        <v>-11028381</v>
      </c>
    </row>
    <row r="20" spans="1:9">
      <c r="A20" s="16"/>
      <c r="B20" s="11">
        <v>31</v>
      </c>
      <c r="C20" s="15" t="s">
        <v>35</v>
      </c>
      <c r="D20" s="13"/>
      <c r="E20" s="13">
        <v>12500</v>
      </c>
      <c r="F20" s="19">
        <f t="shared" si="0"/>
        <v>-11040881</v>
      </c>
    </row>
    <row r="21" spans="1:9">
      <c r="A21" s="16"/>
      <c r="B21" s="11">
        <v>31</v>
      </c>
      <c r="C21" s="15" t="s">
        <v>36</v>
      </c>
      <c r="D21" s="13"/>
      <c r="E21" s="13">
        <v>667</v>
      </c>
      <c r="F21" s="19">
        <f t="shared" si="0"/>
        <v>-11041548</v>
      </c>
    </row>
    <row r="22" spans="1:9">
      <c r="A22" s="16"/>
      <c r="B22" s="11">
        <v>31</v>
      </c>
      <c r="C22" s="15" t="s">
        <v>37</v>
      </c>
      <c r="D22" s="13">
        <v>3337</v>
      </c>
      <c r="E22" s="13"/>
      <c r="F22" s="19">
        <f t="shared" si="0"/>
        <v>-11038211</v>
      </c>
    </row>
    <row r="23" spans="1:9">
      <c r="A23" s="16"/>
      <c r="B23" s="11"/>
      <c r="C23" s="15"/>
      <c r="D23" s="13"/>
      <c r="E23" s="13"/>
      <c r="F23" s="19"/>
    </row>
    <row r="24" spans="1:9">
      <c r="A24" s="16"/>
      <c r="B24" s="11"/>
      <c r="C24" s="18" t="s">
        <v>21</v>
      </c>
      <c r="D24" s="19">
        <f>SUM(D2:D23)</f>
        <v>150012087</v>
      </c>
      <c r="E24" s="19">
        <f>SUM(E2:E23)</f>
        <v>161050298</v>
      </c>
      <c r="F24" s="21">
        <f>D24-E24</f>
        <v>-11038211</v>
      </c>
    </row>
    <row r="27" spans="1:9">
      <c r="D27" s="23"/>
      <c r="E27" s="23"/>
      <c r="F27" s="23"/>
      <c r="I27" s="22"/>
    </row>
    <row r="28" spans="1:9">
      <c r="D28" s="23"/>
      <c r="E28" s="23"/>
      <c r="F28" s="23"/>
      <c r="I28" s="22"/>
    </row>
    <row r="29" spans="1:9">
      <c r="D29" s="23"/>
      <c r="E29" s="23"/>
      <c r="F29" s="23"/>
      <c r="I29" s="22"/>
    </row>
    <row r="30" spans="1:9">
      <c r="D30" s="23"/>
      <c r="E30" s="23"/>
      <c r="F30" s="23"/>
      <c r="I30" s="22"/>
    </row>
    <row r="31" spans="1:9">
      <c r="D31" s="23"/>
      <c r="E31" s="23"/>
      <c r="F31" s="23"/>
    </row>
    <row r="32" spans="1:9">
      <c r="D32" s="23"/>
      <c r="E32" s="23"/>
      <c r="F32" s="23"/>
    </row>
  </sheetData>
  <mergeCells count="1">
    <mergeCell ref="A1:B1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0659-4084-45CE-A49D-6184BDB7A3C1}">
  <dimension ref="A1:I32"/>
  <sheetViews>
    <sheetView tabSelected="1" workbookViewId="0">
      <selection activeCell="D30" sqref="D30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4" width="18.875" style="4" customWidth="1"/>
    <col min="5" max="5" width="20.625" style="4" customWidth="1"/>
    <col min="6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8" s="1" customFormat="1" ht="26.1" customHeight="1">
      <c r="A1" s="25" t="s">
        <v>0</v>
      </c>
      <c r="B1" s="25"/>
      <c r="C1" s="5" t="s">
        <v>1</v>
      </c>
      <c r="D1" s="6" t="s">
        <v>2</v>
      </c>
      <c r="E1" s="6" t="s">
        <v>3</v>
      </c>
      <c r="F1" s="6" t="s">
        <v>4</v>
      </c>
    </row>
    <row r="2" spans="1:8">
      <c r="A2" s="7">
        <v>2025</v>
      </c>
      <c r="B2" s="8"/>
      <c r="C2" s="9" t="s">
        <v>5</v>
      </c>
      <c r="D2" s="10">
        <f>'OKT-25'!D24</f>
        <v>150012087</v>
      </c>
      <c r="E2" s="10">
        <f>'OKT-25'!E24</f>
        <v>161050298</v>
      </c>
      <c r="F2" s="10">
        <f>'OKT-25'!F24</f>
        <v>-11038211</v>
      </c>
    </row>
    <row r="3" spans="1:8">
      <c r="A3" s="8"/>
      <c r="B3" s="15"/>
      <c r="C3" s="15"/>
      <c r="D3" s="13"/>
      <c r="E3" s="13"/>
      <c r="F3" s="19">
        <f>F2+D3-E3</f>
        <v>-11038211</v>
      </c>
      <c r="H3" s="20"/>
    </row>
    <row r="4" spans="1:8">
      <c r="A4" s="8"/>
      <c r="B4" s="15"/>
      <c r="C4" s="15"/>
      <c r="D4" s="13"/>
      <c r="E4" s="13"/>
      <c r="F4" s="19">
        <f>F3+D4-E4</f>
        <v>-11038211</v>
      </c>
      <c r="H4" s="20"/>
    </row>
    <row r="5" spans="1:8">
      <c r="A5" s="8"/>
      <c r="B5" s="15"/>
      <c r="C5" s="15"/>
      <c r="D5" s="13"/>
      <c r="E5" s="13"/>
      <c r="F5" s="19">
        <f>F4+D5-E5</f>
        <v>-11038211</v>
      </c>
      <c r="H5" s="20"/>
    </row>
    <row r="6" spans="1:8">
      <c r="A6" s="8"/>
      <c r="B6" s="15"/>
      <c r="C6" s="15"/>
      <c r="D6" s="13"/>
      <c r="E6" s="13"/>
      <c r="F6" s="19">
        <f t="shared" ref="F6:F22" si="0">F5+D6-E6</f>
        <v>-11038211</v>
      </c>
      <c r="H6" s="20"/>
    </row>
    <row r="7" spans="1:8">
      <c r="A7" s="8"/>
      <c r="B7" s="15"/>
      <c r="C7" s="15"/>
      <c r="D7" s="13"/>
      <c r="E7" s="13"/>
      <c r="F7" s="19">
        <f t="shared" si="0"/>
        <v>-11038211</v>
      </c>
      <c r="H7" s="20"/>
    </row>
    <row r="8" spans="1:8">
      <c r="A8" s="8"/>
      <c r="B8" s="15"/>
      <c r="C8" s="15"/>
      <c r="D8" s="13"/>
      <c r="E8" s="13"/>
      <c r="F8" s="19">
        <f t="shared" si="0"/>
        <v>-11038211</v>
      </c>
      <c r="H8" s="20"/>
    </row>
    <row r="9" spans="1:8">
      <c r="A9" s="8"/>
      <c r="B9" s="15"/>
      <c r="C9" s="15"/>
      <c r="D9" s="13"/>
      <c r="E9" s="13"/>
      <c r="F9" s="19">
        <f t="shared" si="0"/>
        <v>-11038211</v>
      </c>
      <c r="H9" s="20"/>
    </row>
    <row r="10" spans="1:8">
      <c r="A10" s="8"/>
      <c r="B10" s="15"/>
      <c r="C10" s="15"/>
      <c r="D10" s="13"/>
      <c r="E10" s="13"/>
      <c r="F10" s="19">
        <f t="shared" si="0"/>
        <v>-11038211</v>
      </c>
      <c r="H10" s="20"/>
    </row>
    <row r="11" spans="1:8">
      <c r="A11" s="8"/>
      <c r="B11" s="15"/>
      <c r="C11" s="15"/>
      <c r="D11" s="13"/>
      <c r="E11" s="13"/>
      <c r="F11" s="19">
        <f t="shared" si="0"/>
        <v>-11038211</v>
      </c>
      <c r="H11" s="20"/>
    </row>
    <row r="12" spans="1:8">
      <c r="A12" s="8"/>
      <c r="B12" s="15"/>
      <c r="C12" s="15"/>
      <c r="D12" s="13"/>
      <c r="E12" s="13"/>
      <c r="F12" s="19">
        <f t="shared" si="0"/>
        <v>-11038211</v>
      </c>
      <c r="H12" s="20"/>
    </row>
    <row r="13" spans="1:8">
      <c r="A13" s="8"/>
      <c r="B13" s="15"/>
      <c r="C13" s="15"/>
      <c r="D13" s="13"/>
      <c r="E13" s="13"/>
      <c r="F13" s="19">
        <f t="shared" si="0"/>
        <v>-11038211</v>
      </c>
      <c r="H13" s="20"/>
    </row>
    <row r="14" spans="1:8">
      <c r="A14" s="8"/>
      <c r="B14" s="11"/>
      <c r="C14" s="15"/>
      <c r="D14" s="13"/>
      <c r="E14" s="13"/>
      <c r="F14" s="19">
        <f t="shared" si="0"/>
        <v>-11038211</v>
      </c>
      <c r="H14" s="20"/>
    </row>
    <row r="15" spans="1:8">
      <c r="A15" s="8"/>
      <c r="B15" s="11"/>
      <c r="C15" s="15"/>
      <c r="D15" s="13"/>
      <c r="E15" s="13"/>
      <c r="F15" s="19">
        <f t="shared" si="0"/>
        <v>-11038211</v>
      </c>
      <c r="H15" s="20"/>
    </row>
    <row r="16" spans="1:8">
      <c r="A16" s="8"/>
      <c r="B16" s="11"/>
      <c r="C16" s="15"/>
      <c r="D16" s="13"/>
      <c r="E16" s="13"/>
      <c r="F16" s="19">
        <f t="shared" si="0"/>
        <v>-11038211</v>
      </c>
      <c r="H16" s="20"/>
    </row>
    <row r="17" spans="1:9">
      <c r="A17" s="8"/>
      <c r="B17" s="11"/>
      <c r="C17" s="15"/>
      <c r="D17" s="13"/>
      <c r="E17" s="13"/>
      <c r="F17" s="19">
        <f t="shared" si="0"/>
        <v>-11038211</v>
      </c>
      <c r="H17" s="20"/>
    </row>
    <row r="18" spans="1:9">
      <c r="A18" s="8"/>
      <c r="B18" s="11"/>
      <c r="C18" s="15"/>
      <c r="D18" s="13"/>
      <c r="E18" s="13"/>
      <c r="F18" s="19">
        <f t="shared" si="0"/>
        <v>-11038211</v>
      </c>
      <c r="H18" s="20"/>
    </row>
    <row r="19" spans="1:9">
      <c r="A19" s="16"/>
      <c r="B19" s="11"/>
      <c r="C19" s="15"/>
      <c r="D19" s="13"/>
      <c r="E19" s="13"/>
      <c r="F19" s="19">
        <f t="shared" si="0"/>
        <v>-11038211</v>
      </c>
    </row>
    <row r="20" spans="1:9">
      <c r="A20" s="16"/>
      <c r="B20" s="11"/>
      <c r="C20" s="15"/>
      <c r="D20" s="13"/>
      <c r="E20" s="13"/>
      <c r="F20" s="19">
        <f t="shared" si="0"/>
        <v>-11038211</v>
      </c>
    </row>
    <row r="21" spans="1:9">
      <c r="A21" s="16"/>
      <c r="B21" s="11"/>
      <c r="C21" s="15"/>
      <c r="D21" s="13"/>
      <c r="E21" s="13"/>
      <c r="F21" s="19">
        <f t="shared" si="0"/>
        <v>-11038211</v>
      </c>
    </row>
    <row r="22" spans="1:9">
      <c r="A22" s="16"/>
      <c r="B22" s="11"/>
      <c r="C22" s="15"/>
      <c r="D22" s="13"/>
      <c r="E22" s="13"/>
      <c r="F22" s="19">
        <f t="shared" si="0"/>
        <v>-11038211</v>
      </c>
    </row>
    <row r="23" spans="1:9">
      <c r="A23" s="16"/>
      <c r="B23" s="11"/>
      <c r="C23" s="15"/>
      <c r="D23" s="13"/>
      <c r="E23" s="13"/>
      <c r="F23" s="19"/>
    </row>
    <row r="24" spans="1:9">
      <c r="A24" s="16"/>
      <c r="B24" s="11"/>
      <c r="C24" s="18" t="s">
        <v>21</v>
      </c>
      <c r="D24" s="19">
        <f>SUM(D2:D23)</f>
        <v>150012087</v>
      </c>
      <c r="E24" s="19">
        <f>SUM(E2:E23)</f>
        <v>161050298</v>
      </c>
      <c r="F24" s="21">
        <f>D24-E24</f>
        <v>-11038211</v>
      </c>
    </row>
    <row r="27" spans="1:9">
      <c r="D27" s="10" t="s">
        <v>19</v>
      </c>
      <c r="E27" s="10"/>
      <c r="F27" s="10">
        <f>'[1]NOV-25'!$F$6</f>
        <v>143131322</v>
      </c>
      <c r="I27" s="22"/>
    </row>
    <row r="28" spans="1:9">
      <c r="D28" s="10" t="s">
        <v>20</v>
      </c>
      <c r="E28" s="10"/>
      <c r="F28" s="10">
        <f>F24</f>
        <v>-11038211</v>
      </c>
      <c r="I28" s="22"/>
    </row>
    <row r="29" spans="1:9">
      <c r="D29" s="10" t="s">
        <v>52</v>
      </c>
      <c r="E29" s="10"/>
      <c r="F29" s="10">
        <f>'[2]MEI 25'!$F$47</f>
        <v>11755500</v>
      </c>
      <c r="I29" s="22"/>
    </row>
    <row r="30" spans="1:9">
      <c r="D30" s="10"/>
      <c r="E30" s="10"/>
      <c r="F30" s="10">
        <f>SUM(F27:F29)</f>
        <v>143848611</v>
      </c>
      <c r="I30" s="22"/>
    </row>
    <row r="31" spans="1:9">
      <c r="D31" s="10"/>
      <c r="E31" s="10" t="s">
        <v>7</v>
      </c>
      <c r="F31" s="10">
        <v>143848611</v>
      </c>
    </row>
    <row r="32" spans="1:9">
      <c r="D32" s="10"/>
      <c r="E32" s="10" t="s">
        <v>8</v>
      </c>
      <c r="F32" s="10">
        <f>F31-F30</f>
        <v>0</v>
      </c>
    </row>
  </sheetData>
  <mergeCells count="1">
    <mergeCell ref="A1:B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SEP-25</vt:lpstr>
      <vt:lpstr>OKT-25</vt:lpstr>
      <vt:lpstr>NOV-25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Hafidh Adani</cp:lastModifiedBy>
  <dcterms:created xsi:type="dcterms:W3CDTF">2021-09-17T14:33:00Z</dcterms:created>
  <dcterms:modified xsi:type="dcterms:W3CDTF">2025-11-01T11:15:48Z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1033-4.6.0.7725</vt:lpwstr>
  </property>
</Properties>
</file>